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ggi\AppData\Roaming\Microsoft\Windows\Network Shortcuts\"/>
    </mc:Choice>
  </mc:AlternateContent>
  <xr:revisionPtr revIDLastSave="0" documentId="8_{9BB7E868-2419-4256-9FF3-0B0F8991A52D}" xr6:coauthVersionLast="47" xr6:coauthVersionMax="47" xr10:uidLastSave="{00000000-0000-0000-0000-000000000000}"/>
  <bookViews>
    <workbookView xWindow="-108" yWindow="-108" windowWidth="23256" windowHeight="12456" xr2:uid="{00000000-000D-0000-FFFF-FFFF00000000}"/>
  </bookViews>
  <sheets>
    <sheet name="Sheet2" sheetId="13" r:id="rId1"/>
    <sheet name="Sheet 3" sheetId="12" r:id="rId2"/>
    <sheet name="National" sheetId="1" r:id="rId3"/>
    <sheet name="Guidance" sheetId="11" r:id="rId4"/>
  </sheet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3" l="1"/>
  <c r="D6" i="13"/>
  <c r="D7" i="13"/>
  <c r="D8" i="13"/>
  <c r="D9" i="13"/>
  <c r="D10" i="13"/>
  <c r="D11" i="13"/>
  <c r="D12" i="13"/>
  <c r="D13" i="13"/>
  <c r="D14" i="13"/>
  <c r="D15" i="13"/>
  <c r="D16" i="13"/>
  <c r="D17" i="13"/>
  <c r="D18" i="13"/>
  <c r="D19" i="13"/>
  <c r="D20" i="13"/>
  <c r="D21" i="13"/>
  <c r="D22" i="13"/>
  <c r="D23" i="13"/>
  <c r="D24" i="13"/>
  <c r="D25" i="13"/>
  <c r="D26" i="13"/>
  <c r="D4" i="13"/>
  <c r="DM16" i="1"/>
  <c r="DM17" i="1"/>
  <c r="DM18" i="1"/>
  <c r="DM19" i="1"/>
  <c r="DM20" i="1"/>
  <c r="DM21" i="1"/>
  <c r="DM22" i="1"/>
  <c r="DM23" i="1"/>
  <c r="DM24" i="1"/>
  <c r="DM25" i="1"/>
  <c r="DM26" i="1"/>
  <c r="DM27" i="1"/>
  <c r="DM28" i="1"/>
  <c r="DM29" i="1"/>
  <c r="DM30" i="1"/>
  <c r="DM31" i="1"/>
  <c r="DM32" i="1"/>
  <c r="DM33" i="1"/>
  <c r="DM34" i="1"/>
  <c r="DM35" i="1"/>
  <c r="DM36" i="1"/>
  <c r="DM37" i="1"/>
  <c r="DM38" i="1"/>
  <c r="DM15" i="1"/>
</calcChain>
</file>

<file path=xl/sharedStrings.xml><?xml version="1.0" encoding="utf-8"?>
<sst xmlns="http://schemas.openxmlformats.org/spreadsheetml/2006/main" count="238" uniqueCount="190">
  <si>
    <t>Title:</t>
  </si>
  <si>
    <t>Referral to Treatment (RTT) Waiting Times</t>
  </si>
  <si>
    <t>[The '+' button above reveals the full weekly breakdown]</t>
  </si>
  <si>
    <t>Summary:</t>
  </si>
  <si>
    <t>Monthly Referral to Treatment (RTT) waiting times for incomplete pathways.</t>
  </si>
  <si>
    <t>Period:</t>
  </si>
  <si>
    <t>Source:</t>
  </si>
  <si>
    <t>NHS England: monthly RTT data collection</t>
  </si>
  <si>
    <t>Basis:</t>
  </si>
  <si>
    <t>Commissioner</t>
  </si>
  <si>
    <t>Published:</t>
  </si>
  <si>
    <t>Revised:</t>
  </si>
  <si>
    <t>Status:</t>
  </si>
  <si>
    <t>Contact:</t>
  </si>
  <si>
    <t>england.rtt@nhs.net</t>
  </si>
  <si>
    <t>National Level Data</t>
  </si>
  <si>
    <t>The number of incomplete pathways by week since referral</t>
  </si>
  <si>
    <t>Treatment Function Code</t>
  </si>
  <si>
    <t>Treatment Function</t>
  </si>
  <si>
    <t>&gt;0-1</t>
  </si>
  <si>
    <t>&gt;1-2</t>
  </si>
  <si>
    <t>&gt;2-3</t>
  </si>
  <si>
    <t>&gt;3-4</t>
  </si>
  <si>
    <t>&gt;4-5</t>
  </si>
  <si>
    <t>&gt;5-6</t>
  </si>
  <si>
    <t>&gt;6-7</t>
  </si>
  <si>
    <t>&gt;7-8</t>
  </si>
  <si>
    <t>&gt;8-9</t>
  </si>
  <si>
    <t>&gt;9-10</t>
  </si>
  <si>
    <t>&gt;10-11</t>
  </si>
  <si>
    <t>&gt;11-12</t>
  </si>
  <si>
    <t>&gt;12-13</t>
  </si>
  <si>
    <t>&gt;13-14</t>
  </si>
  <si>
    <t>&gt;14-15</t>
  </si>
  <si>
    <t>&gt;15-16</t>
  </si>
  <si>
    <t>&gt;16-17</t>
  </si>
  <si>
    <t>&gt;17-18</t>
  </si>
  <si>
    <t>&gt;18-19</t>
  </si>
  <si>
    <t>&gt;19-20</t>
  </si>
  <si>
    <t>&gt;20-21</t>
  </si>
  <si>
    <t>&gt;21-22</t>
  </si>
  <si>
    <t>&gt;22-23</t>
  </si>
  <si>
    <t>&gt;23-24</t>
  </si>
  <si>
    <t>&gt;24-25</t>
  </si>
  <si>
    <t>&gt;25-26</t>
  </si>
  <si>
    <t>&gt;26-27</t>
  </si>
  <si>
    <t>&gt;27-28</t>
  </si>
  <si>
    <t>&gt;28-29</t>
  </si>
  <si>
    <t>&gt;29-30</t>
  </si>
  <si>
    <t>&gt;30-31</t>
  </si>
  <si>
    <t>&gt;31-32</t>
  </si>
  <si>
    <t>&gt;32-33</t>
  </si>
  <si>
    <t>&gt;33-34</t>
  </si>
  <si>
    <t>&gt;34-35</t>
  </si>
  <si>
    <t>&gt;35-36</t>
  </si>
  <si>
    <t>&gt;36-37</t>
  </si>
  <si>
    <t>&gt;37-38</t>
  </si>
  <si>
    <t>&gt;38-39</t>
  </si>
  <si>
    <t>&gt;39-40</t>
  </si>
  <si>
    <t>&gt;40-41</t>
  </si>
  <si>
    <t>&gt;41-42</t>
  </si>
  <si>
    <t>&gt;42-43</t>
  </si>
  <si>
    <t>&gt;43-44</t>
  </si>
  <si>
    <t>&gt;44-45</t>
  </si>
  <si>
    <t>&gt;45-46</t>
  </si>
  <si>
    <t>&gt;46-47</t>
  </si>
  <si>
    <t>&gt;47-48</t>
  </si>
  <si>
    <t>&gt;48-49</t>
  </si>
  <si>
    <t>&gt;49-50</t>
  </si>
  <si>
    <t>&gt;50-51</t>
  </si>
  <si>
    <t>&gt;51-52</t>
  </si>
  <si>
    <t>&gt;52-53</t>
  </si>
  <si>
    <t>&gt;53-54</t>
  </si>
  <si>
    <t>&gt;54-55</t>
  </si>
  <si>
    <t>&gt;55-56</t>
  </si>
  <si>
    <t>&gt;56-57</t>
  </si>
  <si>
    <t>&gt;57-58</t>
  </si>
  <si>
    <t>&gt;58-59</t>
  </si>
  <si>
    <t>&gt;59-60</t>
  </si>
  <si>
    <t>&gt;60-61</t>
  </si>
  <si>
    <t>&gt;61-62</t>
  </si>
  <si>
    <t>&gt;62-63</t>
  </si>
  <si>
    <t>&gt;63-64</t>
  </si>
  <si>
    <t>&gt;64-65</t>
  </si>
  <si>
    <t>&gt;65-66</t>
  </si>
  <si>
    <t>&gt;66-67</t>
  </si>
  <si>
    <t>&gt;67-68</t>
  </si>
  <si>
    <t>&gt;68-69</t>
  </si>
  <si>
    <t>&gt;69-70</t>
  </si>
  <si>
    <t>&gt;70-71</t>
  </si>
  <si>
    <t>&gt;71-72</t>
  </si>
  <si>
    <t>&gt;72-73</t>
  </si>
  <si>
    <t>&gt;73-74</t>
  </si>
  <si>
    <t>&gt;74-75</t>
  </si>
  <si>
    <t>&gt;75-76</t>
  </si>
  <si>
    <t>&gt;76-77</t>
  </si>
  <si>
    <t>&gt;77-78</t>
  </si>
  <si>
    <t>&gt;78-79</t>
  </si>
  <si>
    <t>&gt;79-80</t>
  </si>
  <si>
    <t>&gt;80-81</t>
  </si>
  <si>
    <t>&gt;81-82</t>
  </si>
  <si>
    <t>&gt;82-83</t>
  </si>
  <si>
    <t>&gt;83-84</t>
  </si>
  <si>
    <t>&gt;84-85</t>
  </si>
  <si>
    <t>&gt;85-86</t>
  </si>
  <si>
    <t>&gt;86-87</t>
  </si>
  <si>
    <t>&gt;87-88</t>
  </si>
  <si>
    <t>&gt;88-89</t>
  </si>
  <si>
    <t>&gt;89-90</t>
  </si>
  <si>
    <t>&gt;90-91</t>
  </si>
  <si>
    <t>&gt;91-92</t>
  </si>
  <si>
    <t>&gt;92-93</t>
  </si>
  <si>
    <t>&gt;93-94</t>
  </si>
  <si>
    <t>&gt;94-95</t>
  </si>
  <si>
    <t>&gt;95-96</t>
  </si>
  <si>
    <t>&gt;96-97</t>
  </si>
  <si>
    <t>&gt;97-98</t>
  </si>
  <si>
    <t>&gt;98-99</t>
  </si>
  <si>
    <t>&gt;99-100</t>
  </si>
  <si>
    <t>&gt;100-101</t>
  </si>
  <si>
    <t>&gt;101-102</t>
  </si>
  <si>
    <t>&gt;102-103</t>
  </si>
  <si>
    <t>&gt;103-104</t>
  </si>
  <si>
    <t>104 plus</t>
  </si>
  <si>
    <t>Total number of incomplete pathways</t>
  </si>
  <si>
    <t>Total within 18 weeks</t>
  </si>
  <si>
    <t>% within 18 weeks</t>
  </si>
  <si>
    <t>Average (median) waiting time (in weeks)</t>
  </si>
  <si>
    <t>92nd percentile waiting time (in weeks)</t>
  </si>
  <si>
    <t>Total 52 plus weeks</t>
  </si>
  <si>
    <t>Total 78 plus weeks</t>
  </si>
  <si>
    <t>Total 65 plus weeks</t>
  </si>
  <si>
    <t>% 52 plus weeks</t>
  </si>
  <si>
    <t>January 2026</t>
  </si>
  <si>
    <t>12th March 2026</t>
  </si>
  <si>
    <t>N/A</t>
  </si>
  <si>
    <t>Published</t>
  </si>
  <si>
    <t>C_100</t>
  </si>
  <si>
    <t>General Surgery Service</t>
  </si>
  <si>
    <t>C_101</t>
  </si>
  <si>
    <t>Urology Service</t>
  </si>
  <si>
    <t>C_110</t>
  </si>
  <si>
    <t>Trauma and Orthopaedic Service</t>
  </si>
  <si>
    <t>C_120</t>
  </si>
  <si>
    <t>Ear Nose and Throat Service</t>
  </si>
  <si>
    <t>C_130</t>
  </si>
  <si>
    <t>Ophthalmology Service</t>
  </si>
  <si>
    <t>C_140</t>
  </si>
  <si>
    <t>Oral Surgery Service</t>
  </si>
  <si>
    <t>C_150</t>
  </si>
  <si>
    <t>Neurosurgical Service</t>
  </si>
  <si>
    <t>C_160</t>
  </si>
  <si>
    <t>Plastic Surgery Service</t>
  </si>
  <si>
    <t>C_170</t>
  </si>
  <si>
    <t>Cardiothoracic Surgery Service</t>
  </si>
  <si>
    <t>C_300</t>
  </si>
  <si>
    <t>General Internal Medicine Service</t>
  </si>
  <si>
    <t>C_301</t>
  </si>
  <si>
    <t>Gastroenterology Service</t>
  </si>
  <si>
    <t>C_320</t>
  </si>
  <si>
    <t>Cardiology Service</t>
  </si>
  <si>
    <t>C_330</t>
  </si>
  <si>
    <t>Dermatology Service</t>
  </si>
  <si>
    <t>C_340</t>
  </si>
  <si>
    <t>Respiratory Medicine Service</t>
  </si>
  <si>
    <t>C_400</t>
  </si>
  <si>
    <t>Neurology Service</t>
  </si>
  <si>
    <t>C_410</t>
  </si>
  <si>
    <t>Rheumatology Service</t>
  </si>
  <si>
    <t>C_430</t>
  </si>
  <si>
    <t>Elderly Medicine Service</t>
  </si>
  <si>
    <t>C_502</t>
  </si>
  <si>
    <t>Gynaecology Service</t>
  </si>
  <si>
    <t>X02</t>
  </si>
  <si>
    <t>Other - Medical Services</t>
  </si>
  <si>
    <t>X03</t>
  </si>
  <si>
    <t>Other - Mental Health Services</t>
  </si>
  <si>
    <t>X04</t>
  </si>
  <si>
    <t>Other - Paediatric Services</t>
  </si>
  <si>
    <t>X05</t>
  </si>
  <si>
    <t>Other - Surgical Services</t>
  </si>
  <si>
    <t>X06</t>
  </si>
  <si>
    <t>Other - Other Services</t>
  </si>
  <si>
    <t>C_999</t>
  </si>
  <si>
    <t>Total</t>
  </si>
  <si>
    <t>Speciality</t>
  </si>
  <si>
    <t>Average waiting time (in weeks)</t>
  </si>
  <si>
    <t>Average wait (in weeks)</t>
  </si>
  <si>
    <t>Waiting List Size</t>
  </si>
  <si>
    <t>Rank (by Wait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</si>
</sst>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0;\-"/>
    <numFmt numFmtId="165" formatCode="0.0%;\-0.0%;\-"/>
    <numFmt numFmtId="166" formatCode="[&lt;104]0.0;[&gt;=104]&quot;104+&quot;"/>
  </numFmts>
  <fonts count="10">
    <font>
      <sz val="11"/>
      <color theme="1"/>
      <name val="Calibri"/>
      <family val="2"/>
      <scheme val="minor"/>
    </font>
    <font>
      <b/>
      <sz val="10"/>
      <color theme="1"/>
      <name val="Verdana"/>
      <family val="2"/>
    </font>
    <font>
      <b/>
      <sz val="12"/>
      <color rgb="FF2A54A8"/>
      <name val="Verdana"/>
      <family val="2"/>
    </font>
    <font>
      <b/>
      <i/>
      <sz val="10"/>
      <color rgb="FFFF0000"/>
      <name val="Ariel"/>
    </font>
    <font>
      <sz val="10"/>
      <color theme="1"/>
      <name val="Verdana"/>
      <family val="2"/>
    </font>
    <font>
      <sz val="11"/>
      <color theme="1"/>
      <name val="Verdana"/>
      <family val="2"/>
    </font>
    <font>
      <b/>
      <sz val="10"/>
      <color theme="1"/>
      <name val="Arial"/>
      <family val="2"/>
    </font>
    <font>
      <b/>
      <sz val="10"/>
      <color theme="1"/>
      <name val="Ariel"/>
    </font>
    <font>
      <sz val="10"/>
      <color theme="1"/>
      <name val="Ariel"/>
    </font>
    <font>
      <b/>
      <sz val="11"/>
      <color theme="1"/>
      <name val="Calibri"/>
      <family val="2"/>
      <scheme val="minor"/>
    </font>
  </fonts>
  <fills count="5">
    <fill>
      <patternFill patternType="none"/>
    </fill>
    <fill>
      <patternFill patternType="gray125"/>
    </fill>
    <fill>
      <patternFill patternType="solid">
        <fgColor indexed="9"/>
        <bgColor indexed="64"/>
      </patternFill>
    </fill>
    <fill>
      <patternFill patternType="solid">
        <fgColor rgb="FFECF0F8"/>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dotted">
        <color rgb="FF000000"/>
      </top>
      <bottom style="dotted">
        <color rgb="FF000000"/>
      </bottom>
      <diagonal/>
    </border>
  </borders>
  <cellStyleXfs count="1">
    <xf numFmtId="0" fontId="0" fillId="0" borderId="0"/>
  </cellStyleXfs>
  <cellXfs count="19">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0" borderId="0" xfId="0" applyFont="1"/>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49" fontId="8" fillId="0" borderId="2" xfId="0" applyNumberFormat="1" applyFont="1" applyBorder="1" applyAlignment="1">
      <alignment horizontal="left" indent="1"/>
    </xf>
    <xf numFmtId="164" fontId="8" fillId="0" borderId="2" xfId="0" applyNumberFormat="1" applyFont="1" applyBorder="1" applyAlignment="1">
      <alignment horizontal="right" indent="1"/>
    </xf>
    <xf numFmtId="165" fontId="8" fillId="0" borderId="2" xfId="0" applyNumberFormat="1" applyFont="1" applyBorder="1" applyAlignment="1">
      <alignment horizontal="right" indent="1"/>
    </xf>
    <xf numFmtId="166" fontId="8" fillId="0" borderId="2" xfId="0" applyNumberFormat="1" applyFont="1" applyBorder="1" applyAlignment="1">
      <alignment horizontal="right" indent="1"/>
    </xf>
    <xf numFmtId="0" fontId="7"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xf>
    <xf numFmtId="0" fontId="9" fillId="4" borderId="0" xfId="0" applyFont="1" applyFill="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cellXfs>
  <cellStyles count="1">
    <cellStyle name="Normal" xfId="0" builtinId="0"/>
  </cellStyles>
  <dxfs count="4">
    <dxf>
      <alignment vertical="center"/>
    </dxf>
    <dxf>
      <alignment vertic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waiting time by</a:t>
            </a:r>
            <a:r>
              <a:rPr lang="en-GB" baseline="0"/>
              <a:t> Speciality (NHS, Jan 2026)</a:t>
            </a:r>
            <a:endParaRPr lang="en-GB"/>
          </a:p>
        </c:rich>
      </c:tx>
      <c:layout>
        <c:manualLayout>
          <c:xMode val="edge"/>
          <c:yMode val="edge"/>
          <c:x val="0.16197258211249493"/>
          <c:y val="2.71705176197237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 3'!$E$3</c:f>
              <c:strCache>
                <c:ptCount val="1"/>
                <c:pt idx="0">
                  <c:v>Average waiting time (in weeks)</c:v>
                </c:pt>
              </c:strCache>
            </c:strRef>
          </c:tx>
          <c:spPr>
            <a:solidFill>
              <a:schemeClr val="accent1"/>
            </a:solidFill>
            <a:ln>
              <a:noFill/>
            </a:ln>
            <a:effectLst/>
          </c:spPr>
          <c:invertIfNegative val="0"/>
          <c:cat>
            <c:strRef>
              <c:f>'Sheet 3'!$C$4:$C$25</c:f>
              <c:strCache>
                <c:ptCount val="22"/>
                <c:pt idx="0">
                  <c:v>Oral Surgery Service</c:v>
                </c:pt>
                <c:pt idx="1">
                  <c:v>Ear Nose and Throat Service</c:v>
                </c:pt>
                <c:pt idx="2">
                  <c:v>Plastic Surgery Service</c:v>
                </c:pt>
                <c:pt idx="3">
                  <c:v>Neurology Service</c:v>
                </c:pt>
                <c:pt idx="4">
                  <c:v>Gynaecology Service</c:v>
                </c:pt>
                <c:pt idx="5">
                  <c:v>Trauma and Orthopaedic Service</c:v>
                </c:pt>
                <c:pt idx="6">
                  <c:v>Neurosurgical Service</c:v>
                </c:pt>
                <c:pt idx="7">
                  <c:v>General Surgery Service</c:v>
                </c:pt>
                <c:pt idx="8">
                  <c:v>Dermatology Service</c:v>
                </c:pt>
                <c:pt idx="9">
                  <c:v>Urology Service</c:v>
                </c:pt>
                <c:pt idx="10">
                  <c:v>Other - Surgical Services</c:v>
                </c:pt>
                <c:pt idx="11">
                  <c:v>Cardiology Service</c:v>
                </c:pt>
                <c:pt idx="12">
                  <c:v>Other - Paediatric Services</c:v>
                </c:pt>
                <c:pt idx="13">
                  <c:v>Gastroenterology Service</c:v>
                </c:pt>
                <c:pt idx="14">
                  <c:v>Rheumatology Service</c:v>
                </c:pt>
                <c:pt idx="15">
                  <c:v>Other - Medical Services</c:v>
                </c:pt>
                <c:pt idx="16">
                  <c:v>General Internal Medicine Service</c:v>
                </c:pt>
                <c:pt idx="17">
                  <c:v>Ophthalmology Service</c:v>
                </c:pt>
                <c:pt idx="18">
                  <c:v>Respiratory Medicine Service</c:v>
                </c:pt>
                <c:pt idx="19">
                  <c:v>Cardiothoracic Surgery Service</c:v>
                </c:pt>
                <c:pt idx="20">
                  <c:v>Other - Other Services</c:v>
                </c:pt>
                <c:pt idx="21">
                  <c:v>Other - Mental Health Services</c:v>
                </c:pt>
              </c:strCache>
            </c:strRef>
          </c:cat>
          <c:val>
            <c:numRef>
              <c:f>'Sheet 3'!$E$4:$E$25</c:f>
              <c:numCache>
                <c:formatCode>[&lt;104]0.0;[&gt;=104]"104+"</c:formatCode>
                <c:ptCount val="22"/>
                <c:pt idx="0">
                  <c:v>17.0104886160143</c:v>
                </c:pt>
                <c:pt idx="1">
                  <c:v>16.590603794488299</c:v>
                </c:pt>
                <c:pt idx="2">
                  <c:v>16.2220054623488</c:v>
                </c:pt>
                <c:pt idx="3">
                  <c:v>15.375373134328401</c:v>
                </c:pt>
                <c:pt idx="4">
                  <c:v>15.3320031923384</c:v>
                </c:pt>
                <c:pt idx="5">
                  <c:v>15.0561987041037</c:v>
                </c:pt>
                <c:pt idx="6">
                  <c:v>14.361428571428601</c:v>
                </c:pt>
                <c:pt idx="7">
                  <c:v>14.242948476871</c:v>
                </c:pt>
                <c:pt idx="8">
                  <c:v>14.0360400555225</c:v>
                </c:pt>
                <c:pt idx="9">
                  <c:v>13.071814456035799</c:v>
                </c:pt>
                <c:pt idx="10">
                  <c:v>12.978432384604</c:v>
                </c:pt>
                <c:pt idx="11">
                  <c:v>12.9002405773857</c:v>
                </c:pt>
                <c:pt idx="12">
                  <c:v>12.896283536903599</c:v>
                </c:pt>
                <c:pt idx="13">
                  <c:v>12.636004560631999</c:v>
                </c:pt>
                <c:pt idx="14">
                  <c:v>12.1529411764706</c:v>
                </c:pt>
                <c:pt idx="15">
                  <c:v>12.010812632889101</c:v>
                </c:pt>
                <c:pt idx="16">
                  <c:v>11.906275468622701</c:v>
                </c:pt>
                <c:pt idx="17">
                  <c:v>11.3373210204748</c:v>
                </c:pt>
                <c:pt idx="18">
                  <c:v>11.202358490566001</c:v>
                </c:pt>
                <c:pt idx="19">
                  <c:v>10.912202380952399</c:v>
                </c:pt>
                <c:pt idx="20">
                  <c:v>9.7127320954907201</c:v>
                </c:pt>
                <c:pt idx="21">
                  <c:v>9.2441860465116292</c:v>
                </c:pt>
              </c:numCache>
            </c:numRef>
          </c:val>
          <c:extLst>
            <c:ext xmlns:c16="http://schemas.microsoft.com/office/drawing/2014/chart" uri="{C3380CC4-5D6E-409C-BE32-E72D297353CC}">
              <c16:uniqueId val="{00000000-9F91-4F5B-B3F9-25FF2E449F12}"/>
            </c:ext>
          </c:extLst>
        </c:ser>
        <c:dLbls>
          <c:showLegendKey val="0"/>
          <c:showVal val="0"/>
          <c:showCatName val="0"/>
          <c:showSerName val="0"/>
          <c:showPercent val="0"/>
          <c:showBubbleSize val="0"/>
        </c:dLbls>
        <c:gapWidth val="150"/>
        <c:overlap val="100"/>
        <c:axId val="1918169039"/>
        <c:axId val="1918168079"/>
      </c:barChart>
      <c:catAx>
        <c:axId val="191816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18168079"/>
        <c:crosses val="autoZero"/>
        <c:auto val="1"/>
        <c:lblAlgn val="ctr"/>
        <c:lblOffset val="100"/>
        <c:noMultiLvlLbl val="0"/>
      </c:catAx>
      <c:valAx>
        <c:axId val="1918168079"/>
        <c:scaling>
          <c:orientation val="minMax"/>
        </c:scaling>
        <c:delete val="0"/>
        <c:axPos val="l"/>
        <c:majorGridlines>
          <c:spPr>
            <a:ln w="9525" cap="flat" cmpd="sng" algn="ctr">
              <a:solidFill>
                <a:schemeClr val="tx1">
                  <a:lumMod val="15000"/>
                  <a:lumOff val="85000"/>
                </a:schemeClr>
              </a:solidFill>
              <a:round/>
            </a:ln>
            <a:effectLst/>
          </c:spPr>
        </c:majorGridlines>
        <c:numFmt formatCode="[&lt;104]0.0;[&gt;=104]&quot;104+&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16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99060</xdr:colOff>
      <xdr:row>1</xdr:row>
      <xdr:rowOff>121920</xdr:rowOff>
    </xdr:from>
    <xdr:to>
      <xdr:col>14</xdr:col>
      <xdr:colOff>449580</xdr:colOff>
      <xdr:row>28</xdr:row>
      <xdr:rowOff>7620</xdr:rowOff>
    </xdr:to>
    <xdr:graphicFrame macro="">
      <xdr:nvGraphicFramePr>
        <xdr:cNvPr id="6" name="Chart 5">
          <a:extLst>
            <a:ext uri="{FF2B5EF4-FFF2-40B4-BE49-F238E27FC236}">
              <a16:creationId xmlns:a16="http://schemas.microsoft.com/office/drawing/2014/main" id="{27C0E461-9BE1-4657-BCF5-68A5B02A3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76199</xdr:rowOff>
    </xdr:from>
    <xdr:to>
      <xdr:col>14</xdr:col>
      <xdr:colOff>501650</xdr:colOff>
      <xdr:row>58</xdr:row>
      <xdr:rowOff>66674</xdr:rowOff>
    </xdr:to>
    <xdr:sp macro="" textlink="">
      <xdr:nvSpPr>
        <xdr:cNvPr id="2" name="TextBox 1">
          <a:extLst>
            <a:ext uri="{FF2B5EF4-FFF2-40B4-BE49-F238E27FC236}">
              <a16:creationId xmlns:a16="http://schemas.microsoft.com/office/drawing/2014/main" id="{8667AAD9-9AF2-44B6-A8A9-3FD2B84140F5}"/>
            </a:ext>
          </a:extLst>
        </xdr:cNvPr>
        <xdr:cNvSpPr txBox="1"/>
      </xdr:nvSpPr>
      <xdr:spPr>
        <a:xfrm>
          <a:off x="76200" y="76199"/>
          <a:ext cx="8959850" cy="1103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u="sng">
              <a:solidFill>
                <a:srgbClr val="2A54A8"/>
              </a:solidFill>
              <a:latin typeface="Arial" panose="020B0604020202020204" pitchFamily="34" charset="0"/>
              <a:cs typeface="Arial" panose="020B0604020202020204" pitchFamily="34" charset="0"/>
            </a:rPr>
            <a:t>Background</a:t>
          </a:r>
        </a:p>
        <a:p>
          <a:r>
            <a:rPr lang="en-GB" sz="1000">
              <a:latin typeface="Arial" panose="020B0604020202020204" pitchFamily="34" charset="0"/>
              <a:cs typeface="Arial" panose="020B0604020202020204" pitchFamily="34" charset="0"/>
            </a:rPr>
            <a:t>Measuring the RTT pathway is about improving patients' experience of the NHS - ensuring all patients receive high quality elective care without any unnecessary delay. Referral to Treatment (RTT) waiting times data are collected from NHS providers (NHS Trusts and other providers) and signed off by commissioners (Integrated Care Boards - ICBs) . The RTT data measures waiting times from referral to the start of first definitive treatment in weeks at treatment speciality level. The length of the RTT period is reported for cases where</a:t>
          </a:r>
          <a:r>
            <a:rPr lang="en-GB" sz="1000" baseline="0">
              <a:latin typeface="Arial" panose="020B0604020202020204" pitchFamily="34" charset="0"/>
              <a:cs typeface="Arial" panose="020B0604020202020204" pitchFamily="34" charset="0"/>
            </a:rPr>
            <a:t> </a:t>
          </a:r>
          <a:r>
            <a:rPr lang="en-GB" sz="1000">
              <a:latin typeface="Arial" panose="020B0604020202020204" pitchFamily="34" charset="0"/>
              <a:cs typeface="Arial" panose="020B0604020202020204" pitchFamily="34" charset="0"/>
            </a:rPr>
            <a:t>patients completed their RTT pathway during the month, and cases where patients are still waiting to start treatment at the end of the month.</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When to use commissioner and provider based tables</a:t>
          </a:r>
        </a:p>
        <a:p>
          <a:r>
            <a:rPr lang="en-GB" sz="1000">
              <a:latin typeface="Arial" panose="020B0604020202020204" pitchFamily="34" charset="0"/>
              <a:cs typeface="Arial" panose="020B0604020202020204" pitchFamily="34" charset="0"/>
            </a:rPr>
            <a:t>When national performance is required or the performance of individual commissioners then the commissioner based tables should be used.</a:t>
          </a:r>
        </a:p>
        <a:p>
          <a:r>
            <a:rPr lang="en-GB" sz="1000">
              <a:latin typeface="Arial" panose="020B0604020202020204" pitchFamily="34" charset="0"/>
              <a:cs typeface="Arial" panose="020B0604020202020204" pitchFamily="34" charset="0"/>
            </a:rPr>
            <a:t>When the performance of individual NHS provider organisations is required then the provider based tables should be used.</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Further Guidance</a:t>
          </a:r>
        </a:p>
        <a:p>
          <a:r>
            <a:rPr lang="en-GB" sz="1000">
              <a:latin typeface="Arial" panose="020B0604020202020204" pitchFamily="34" charset="0"/>
              <a:cs typeface="Arial" panose="020B0604020202020204" pitchFamily="34" charset="0"/>
            </a:rPr>
            <a:t>Referral to Treatment Waiting Times Clock Rules and FAQ can be found here:</a:t>
          </a:r>
        </a:p>
        <a:p>
          <a:r>
            <a:rPr lang="en-GB" sz="1000">
              <a:latin typeface="Arial" panose="020B0604020202020204" pitchFamily="34" charset="0"/>
              <a:cs typeface="Arial" panose="020B0604020202020204" pitchFamily="34" charset="0"/>
            </a:rPr>
            <a:t>http://www.england.nhs.uk/statistics/rtt-waiting-times/rtt-guidance/</a:t>
          </a:r>
        </a:p>
        <a:p>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Glossary</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Workbooks</a:t>
          </a:r>
        </a:p>
        <a:p>
          <a:r>
            <a:rPr lang="en-GB" sz="1000" b="1">
              <a:latin typeface="Arial" panose="020B0604020202020204" pitchFamily="34" charset="0"/>
              <a:cs typeface="Arial" panose="020B0604020202020204" pitchFamily="34" charset="0"/>
            </a:rPr>
            <a:t>Admitted: </a:t>
          </a:r>
          <a:r>
            <a:rPr lang="en-GB" sz="1000">
              <a:latin typeface="Arial" panose="020B0604020202020204" pitchFamily="34" charset="0"/>
              <a:cs typeface="Arial" panose="020B0604020202020204" pitchFamily="34" charset="0"/>
            </a:rPr>
            <a:t>RTT waiting times for cases where patients completed their RTT pathway during the month with an inpatient/day case admission for treatment.</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Non-admitted: </a:t>
          </a:r>
          <a:r>
            <a:rPr lang="en-GB" sz="1000">
              <a:latin typeface="Arial" panose="020B0604020202020204" pitchFamily="34" charset="0"/>
              <a:cs typeface="Arial" panose="020B0604020202020204" pitchFamily="34" charset="0"/>
            </a:rPr>
            <a:t>RTT waiting times for cases where patients completed</a:t>
          </a:r>
          <a:r>
            <a:rPr lang="en-GB" sz="1000" baseline="0">
              <a:latin typeface="Arial" panose="020B0604020202020204" pitchFamily="34" charset="0"/>
              <a:cs typeface="Arial" panose="020B0604020202020204" pitchFamily="34" charset="0"/>
            </a:rPr>
            <a:t> their RTT pathway </a:t>
          </a:r>
          <a:r>
            <a:rPr lang="en-GB" sz="1000">
              <a:latin typeface="Arial" panose="020B0604020202020204" pitchFamily="34" charset="0"/>
              <a:cs typeface="Arial" panose="020B0604020202020204" pitchFamily="34" charset="0"/>
            </a:rPr>
            <a:t>during the month for reasons other than an inpatient/day case admission for treatment (e.g. started treatment in an outpatient setting or a non-treatment clock stop).</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Incomplete: </a:t>
          </a:r>
          <a:r>
            <a:rPr lang="en-GB" sz="1000">
              <a:latin typeface="Arial" panose="020B0604020202020204" pitchFamily="34" charset="0"/>
              <a:cs typeface="Arial" panose="020B0604020202020204" pitchFamily="34" charset="0"/>
            </a:rPr>
            <a:t>RTT waiting times for cases where patients are still waiting to start treatment at the end of the month.</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Terms</a:t>
          </a:r>
        </a:p>
        <a:p>
          <a:r>
            <a:rPr lang="en-GB" sz="1000" b="1">
              <a:latin typeface="Arial" panose="020B0604020202020204" pitchFamily="34" charset="0"/>
              <a:cs typeface="Arial" panose="020B0604020202020204" pitchFamily="34" charset="0"/>
            </a:rPr>
            <a:t>XXth percentile waiting time (in weeks)</a:t>
          </a:r>
        </a:p>
        <a:p>
          <a:r>
            <a:rPr lang="en-GB" sz="1000">
              <a:latin typeface="Arial" panose="020B0604020202020204" pitchFamily="34" charset="0"/>
              <a:cs typeface="Arial" panose="020B0604020202020204" pitchFamily="34" charset="0"/>
            </a:rPr>
            <a:t>This is a statistical measure of the RTT waiting times distribution. The 95th percentile is shown for completed pathways. This is the time that in 95% of</a:t>
          </a:r>
          <a:r>
            <a:rPr lang="en-GB" sz="1000" baseline="0">
              <a:latin typeface="Arial" panose="020B0604020202020204" pitchFamily="34" charset="0"/>
              <a:cs typeface="Arial" panose="020B0604020202020204" pitchFamily="34" charset="0"/>
            </a:rPr>
            <a:t> cases the</a:t>
          </a:r>
          <a:r>
            <a:rPr lang="en-GB" sz="1000">
              <a:latin typeface="Arial" panose="020B0604020202020204" pitchFamily="34" charset="0"/>
              <a:cs typeface="Arial" panose="020B0604020202020204" pitchFamily="34" charset="0"/>
            </a:rPr>
            <a:t> patient</a:t>
          </a:r>
          <a:r>
            <a:rPr lang="en-GB" sz="1000" baseline="0">
              <a:latin typeface="Arial" panose="020B0604020202020204" pitchFamily="34" charset="0"/>
              <a:cs typeface="Arial" panose="020B0604020202020204" pitchFamily="34" charset="0"/>
            </a:rPr>
            <a:t> had</a:t>
          </a:r>
          <a:r>
            <a:rPr lang="en-GB" sz="1000">
              <a:latin typeface="Arial" panose="020B0604020202020204" pitchFamily="34" charset="0"/>
              <a:cs typeface="Arial" panose="020B0604020202020204" pitchFamily="34" charset="0"/>
            </a:rPr>
            <a:t> waited less than to start treatment (and 5% of cases the patient</a:t>
          </a:r>
          <a:r>
            <a:rPr lang="en-GB" sz="1000" baseline="0">
              <a:latin typeface="Arial" panose="020B0604020202020204" pitchFamily="34" charset="0"/>
              <a:cs typeface="Arial" panose="020B0604020202020204" pitchFamily="34" charset="0"/>
            </a:rPr>
            <a:t> had</a:t>
          </a:r>
          <a:r>
            <a:rPr lang="en-GB" sz="1000">
              <a:latin typeface="Arial" panose="020B0604020202020204" pitchFamily="34" charset="0"/>
              <a:cs typeface="Arial" panose="020B0604020202020204" pitchFamily="34" charset="0"/>
            </a:rPr>
            <a:t> waited more than). E.g. if the 95th percentile is 22 weeks, then in 95% of cases</a:t>
          </a:r>
          <a:r>
            <a:rPr lang="en-GB" sz="1000" baseline="0">
              <a:latin typeface="Arial" panose="020B0604020202020204" pitchFamily="34" charset="0"/>
              <a:cs typeface="Arial" panose="020B0604020202020204" pitchFamily="34" charset="0"/>
            </a:rPr>
            <a:t> the </a:t>
          </a:r>
          <a:r>
            <a:rPr lang="en-GB" sz="1000">
              <a:latin typeface="Arial" panose="020B0604020202020204" pitchFamily="34" charset="0"/>
              <a:cs typeface="Arial" panose="020B0604020202020204" pitchFamily="34" charset="0"/>
            </a:rPr>
            <a:t>patient waited less than 22 weeks and 5% of cases the</a:t>
          </a:r>
          <a:r>
            <a:rPr lang="en-GB" sz="1000" baseline="0">
              <a:latin typeface="Arial" panose="020B0604020202020204" pitchFamily="34" charset="0"/>
              <a:cs typeface="Arial" panose="020B0604020202020204" pitchFamily="34" charset="0"/>
            </a:rPr>
            <a:t> </a:t>
          </a:r>
          <a:r>
            <a:rPr lang="en-GB" sz="1000">
              <a:latin typeface="Arial" panose="020B0604020202020204" pitchFamily="34" charset="0"/>
              <a:cs typeface="Arial" panose="020B0604020202020204" pitchFamily="34" charset="0"/>
            </a:rPr>
            <a:t>patient waited more than 22 weeks. The 92nd percentile is shown for incomplete pathways, to correspond with the 92% operational standard for incomplete pathways. This is the time that in 92% of cases the</a:t>
          </a:r>
          <a:r>
            <a:rPr lang="en-GB" sz="1000" baseline="0">
              <a:latin typeface="Arial" panose="020B0604020202020204" pitchFamily="34" charset="0"/>
              <a:cs typeface="Arial" panose="020B0604020202020204" pitchFamily="34" charset="0"/>
            </a:rPr>
            <a:t> </a:t>
          </a:r>
          <a:r>
            <a:rPr lang="en-GB" sz="1000">
              <a:latin typeface="Arial" panose="020B0604020202020204" pitchFamily="34" charset="0"/>
              <a:cs typeface="Arial" panose="020B0604020202020204" pitchFamily="34" charset="0"/>
            </a:rPr>
            <a:t>patient had been waiting less than (and 8% of cases the patient had been waiting more than). E.g. if the 92nd percentile is 17 weeks, then in 92% of cases the patient had been waiting less than 17 weeks at the end of the reporting period and in 8% of cases the patient</a:t>
          </a:r>
          <a:r>
            <a:rPr lang="en-GB" sz="1000" baseline="0">
              <a:latin typeface="Arial" panose="020B0604020202020204" pitchFamily="34" charset="0"/>
              <a:cs typeface="Arial" panose="020B0604020202020204" pitchFamily="34" charset="0"/>
            </a:rPr>
            <a:t> </a:t>
          </a:r>
          <a:r>
            <a:rPr lang="en-GB" sz="1000">
              <a:latin typeface="Arial" panose="020B0604020202020204" pitchFamily="34" charset="0"/>
              <a:cs typeface="Arial" panose="020B0604020202020204" pitchFamily="34" charset="0"/>
            </a:rPr>
            <a:t>had been waiting more than 17 weeks.  </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Average (median) waiting time (in weeks)</a:t>
          </a:r>
        </a:p>
        <a:p>
          <a:r>
            <a:rPr lang="en-GB" sz="1000">
              <a:latin typeface="Arial" panose="020B0604020202020204" pitchFamily="34" charset="0"/>
              <a:cs typeface="Arial" panose="020B0604020202020204" pitchFamily="34" charset="0"/>
            </a:rPr>
            <a:t>This is the mid-point of the RTT waiting times distribution. The median is the 50th percentile. It's the time that in 50% of cases</a:t>
          </a:r>
          <a:r>
            <a:rPr lang="en-GB" sz="1000" baseline="0">
              <a:latin typeface="Arial" panose="020B0604020202020204" pitchFamily="34" charset="0"/>
              <a:cs typeface="Arial" panose="020B0604020202020204" pitchFamily="34" charset="0"/>
            </a:rPr>
            <a:t> the </a:t>
          </a:r>
          <a:r>
            <a:rPr lang="en-GB" sz="1000">
              <a:latin typeface="Arial" panose="020B0604020202020204" pitchFamily="34" charset="0"/>
              <a:cs typeface="Arial" panose="020B0604020202020204" pitchFamily="34" charset="0"/>
            </a:rPr>
            <a:t>patient</a:t>
          </a:r>
          <a:r>
            <a:rPr lang="en-GB" sz="1000" baseline="0">
              <a:latin typeface="Arial" panose="020B0604020202020204" pitchFamily="34" charset="0"/>
              <a:cs typeface="Arial" panose="020B0604020202020204" pitchFamily="34" charset="0"/>
            </a:rPr>
            <a:t> had</a:t>
          </a:r>
          <a:r>
            <a:rPr lang="en-GB" sz="1000">
              <a:latin typeface="Arial" panose="020B0604020202020204" pitchFamily="34" charset="0"/>
              <a:cs typeface="Arial" panose="020B0604020202020204" pitchFamily="34" charset="0"/>
            </a:rPr>
            <a:t> waited less than, e.g. the waiting time of the</a:t>
          </a:r>
          <a:r>
            <a:rPr lang="en-GB" sz="1000" baseline="0">
              <a:latin typeface="Arial" panose="020B0604020202020204" pitchFamily="34" charset="0"/>
              <a:cs typeface="Arial" panose="020B0604020202020204" pitchFamily="34" charset="0"/>
            </a:rPr>
            <a:t> </a:t>
          </a:r>
          <a:r>
            <a:rPr lang="en-GB" sz="1000">
              <a:latin typeface="Arial" panose="020B0604020202020204" pitchFamily="34" charset="0"/>
              <a:cs typeface="Arial" panose="020B0604020202020204" pitchFamily="34" charset="0"/>
            </a:rPr>
            <a:t>patient in the</a:t>
          </a:r>
          <a:r>
            <a:rPr lang="en-GB" sz="1000" baseline="0">
              <a:latin typeface="Arial" panose="020B0604020202020204" pitchFamily="34" charset="0"/>
              <a:cs typeface="Arial" panose="020B0604020202020204" pitchFamily="34" charset="0"/>
            </a:rPr>
            <a:t> middle</a:t>
          </a:r>
          <a:r>
            <a:rPr lang="en-GB" sz="1000">
              <a:latin typeface="Arial" panose="020B0604020202020204" pitchFamily="34" charset="0"/>
              <a:cs typeface="Arial" panose="020B0604020202020204" pitchFamily="34" charset="0"/>
            </a:rPr>
            <a:t> if you lined all</a:t>
          </a:r>
          <a:r>
            <a:rPr lang="en-GB" sz="1000" baseline="0">
              <a:latin typeface="Arial" panose="020B0604020202020204" pitchFamily="34" charset="0"/>
              <a:cs typeface="Arial" panose="020B0604020202020204" pitchFamily="34" charset="0"/>
            </a:rPr>
            <a:t> cases </a:t>
          </a:r>
          <a:r>
            <a:rPr lang="en-GB" sz="1000">
              <a:latin typeface="Arial" panose="020B0604020202020204" pitchFamily="34" charset="0"/>
              <a:cs typeface="Arial" panose="020B0604020202020204" pitchFamily="34" charset="0"/>
            </a:rPr>
            <a:t>up from shortest wait to longest wait.</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Clock Start</a:t>
          </a:r>
        </a:p>
        <a:p>
          <a:r>
            <a:rPr lang="en-GB" sz="1000">
              <a:latin typeface="Arial" panose="020B0604020202020204" pitchFamily="34" charset="0"/>
              <a:cs typeface="Arial" panose="020B0604020202020204" pitchFamily="34" charset="0"/>
            </a:rPr>
            <a:t>The date on which a patient's RTT period starts, when a patient is referred for consultant-led treatment and the referral is received by the provider.</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Clock Stop</a:t>
          </a:r>
        </a:p>
        <a:p>
          <a:r>
            <a:rPr lang="en-GB" sz="1000">
              <a:latin typeface="Arial" panose="020B0604020202020204" pitchFamily="34" charset="0"/>
              <a:cs typeface="Arial" panose="020B0604020202020204" pitchFamily="34" charset="0"/>
            </a:rPr>
            <a:t>The date on which a patient's RTT period ends, either when a patient starts first definitive treatment, or when a decision not to treat a patient is made.</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Total (all)</a:t>
          </a:r>
        </a:p>
        <a:p>
          <a:r>
            <a:rPr lang="en-GB" sz="1000">
              <a:latin typeface="Arial" panose="020B0604020202020204" pitchFamily="34" charset="0"/>
              <a:cs typeface="Arial" panose="020B0604020202020204" pitchFamily="34" charset="0"/>
            </a:rPr>
            <a:t>The total number of completed RTT periods in the month.</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Total (known clock start)</a:t>
          </a:r>
        </a:p>
        <a:p>
          <a:r>
            <a:rPr lang="en-GB" sz="1000">
              <a:latin typeface="Arial" panose="020B0604020202020204" pitchFamily="34" charset="0"/>
              <a:cs typeface="Arial" panose="020B0604020202020204" pitchFamily="34" charset="0"/>
            </a:rPr>
            <a:t>The total number of completed RTT periods in the month, whose RTT clock starts are known.</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Treatment Function</a:t>
          </a:r>
        </a:p>
        <a:p>
          <a:r>
            <a:rPr lang="en-GB" sz="1000">
              <a:latin typeface="Arial" panose="020B0604020202020204" pitchFamily="34" charset="0"/>
              <a:cs typeface="Arial" panose="020B0604020202020204" pitchFamily="34" charset="0"/>
            </a:rPr>
            <a:t>RTT waiting times are measured within 19 treatment functions, which have been chosen to capture the main treatment areas.  Treatment functions are based on specialties.</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Commissioner</a:t>
          </a:r>
        </a:p>
        <a:p>
          <a:r>
            <a:rPr lang="en-GB" sz="1000">
              <a:latin typeface="Arial" panose="020B0604020202020204" pitchFamily="34" charset="0"/>
              <a:cs typeface="Arial" panose="020B0604020202020204" pitchFamily="34" charset="0"/>
            </a:rPr>
            <a:t>The commissioners are normally Integrated Care Boards (ICBs).  ICBs commission services from providers of NHS care. NHS England commissions specialised services.</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 within 18 weeks</a:t>
          </a:r>
        </a:p>
        <a:p>
          <a:r>
            <a:rPr lang="en-GB" sz="1000">
              <a:latin typeface="Arial" panose="020B0604020202020204" pitchFamily="34" charset="0"/>
              <a:cs typeface="Arial" panose="020B0604020202020204" pitchFamily="34" charset="0"/>
            </a:rPr>
            <a:t>The percentage of RTT periods within 18 weeks of referral.</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Provider</a:t>
          </a:r>
        </a:p>
        <a:p>
          <a:r>
            <a:rPr lang="en-GB" sz="1000">
              <a:latin typeface="Arial" panose="020B0604020202020204" pitchFamily="34" charset="0"/>
              <a:cs typeface="Arial" panose="020B0604020202020204" pitchFamily="34" charset="0"/>
            </a:rPr>
            <a:t>An organisation that provides NHS treatment or care, for example an NHS Trust (acute, community &amp; mental health) or an Independent Sector organisation.</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RTT Period</a:t>
          </a:r>
        </a:p>
        <a:p>
          <a:r>
            <a:rPr lang="en-GB" sz="1000">
              <a:latin typeface="Arial" panose="020B0604020202020204" pitchFamily="34" charset="0"/>
              <a:cs typeface="Arial" panose="020B0604020202020204" pitchFamily="34" charset="0"/>
            </a:rPr>
            <a:t>The length of time between a patient's RTT clock start and the clock stop for a particular treatment.</a:t>
          </a:r>
        </a:p>
        <a:p>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gie Kileke-Mubobo" refreshedDate="46118.083636342591" createdVersion="8" refreshedVersion="8" minRefreshableVersion="3" recordCount="24" xr:uid="{E464F32C-A0E6-4F63-B3AC-CF921BA96FFA}">
  <cacheSource type="worksheet">
    <worksheetSource ref="C3:E26" sheet="Sheet 3"/>
  </cacheSource>
  <cacheFields count="3">
    <cacheField name="Speciality" numFmtId="49">
      <sharedItems count="24">
        <s v="General Surgery Service"/>
        <s v="Urology Service"/>
        <s v="Trauma and Orthopaedic Service"/>
        <s v="Ear Nose and Throat Service"/>
        <s v="Ophthalmology Service"/>
        <s v="Oral Surgery Service"/>
        <s v="Neurosurgical Service"/>
        <s v="Plastic Surgery Service"/>
        <s v="Cardiothoracic Surgery Service"/>
        <s v="General Internal Medicine Service"/>
        <s v="Gastroenterology Service"/>
        <s v="Cardiology Service"/>
        <s v="Dermatology Service"/>
        <s v="Respiratory Medicine Service"/>
        <s v="Neurology Service"/>
        <s v="Rheumatology Service"/>
        <s v="Elderly Medicine Service"/>
        <s v="Gynaecology Service"/>
        <s v="Other - Medical Services"/>
        <s v="Other - Mental Health Services"/>
        <s v="Other - Paediatric Services"/>
        <s v="Other - Surgical Services"/>
        <s v="Other - Other Services"/>
        <s v="Total"/>
      </sharedItems>
    </cacheField>
    <cacheField name="Total number of incomplete pathways" numFmtId="164">
      <sharedItems containsSemiMixedTypes="0" containsString="0" containsNumber="1" containsInteger="1" minValue="2969" maxValue="7155958"/>
    </cacheField>
    <cacheField name="Average waiting time (in weeks)" numFmtId="166">
      <sharedItems containsSemiMixedTypes="0" containsString="0" containsNumber="1" minValue="8.6933333333333298" maxValue="17.010488616014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386068"/>
    <n v="14.242948476871"/>
  </r>
  <r>
    <x v="1"/>
    <n v="389052"/>
    <n v="13.071814456035799"/>
  </r>
  <r>
    <x v="2"/>
    <n v="836764"/>
    <n v="15.0561987041037"/>
  </r>
  <r>
    <x v="3"/>
    <n v="587673"/>
    <n v="16.590603794488299"/>
  </r>
  <r>
    <x v="4"/>
    <n v="596635"/>
    <n v="11.3373210204748"/>
  </r>
  <r>
    <x v="5"/>
    <n v="317724"/>
    <n v="17.0104886160143"/>
  </r>
  <r>
    <x v="6"/>
    <n v="57289"/>
    <n v="14.361428571428601"/>
  </r>
  <r>
    <x v="7"/>
    <n v="103068"/>
    <n v="16.2220054623488"/>
  </r>
  <r>
    <x v="8"/>
    <n v="9041"/>
    <n v="10.912202380952399"/>
  </r>
  <r>
    <x v="9"/>
    <n v="34818"/>
    <n v="11.906275468622701"/>
  </r>
  <r>
    <x v="10"/>
    <n v="383007"/>
    <n v="12.636004560631999"/>
  </r>
  <r>
    <x v="11"/>
    <n v="383680"/>
    <n v="12.9002405773857"/>
  </r>
  <r>
    <x v="12"/>
    <n v="396171"/>
    <n v="14.0360400555225"/>
  </r>
  <r>
    <x v="13"/>
    <n v="184826"/>
    <n v="11.202358490566001"/>
  </r>
  <r>
    <x v="14"/>
    <n v="216423"/>
    <n v="15.375373134328401"/>
  </r>
  <r>
    <x v="15"/>
    <n v="115918"/>
    <n v="12.1529411764706"/>
  </r>
  <r>
    <x v="16"/>
    <n v="26332"/>
    <n v="8.6933333333333298"/>
  </r>
  <r>
    <x v="17"/>
    <n v="565134"/>
    <n v="15.3320031923384"/>
  </r>
  <r>
    <x v="18"/>
    <n v="616287"/>
    <n v="12.010812632889101"/>
  </r>
  <r>
    <x v="19"/>
    <n v="2969"/>
    <n v="9.2441860465116292"/>
  </r>
  <r>
    <x v="20"/>
    <n v="314575"/>
    <n v="12.896283536903599"/>
  </r>
  <r>
    <x v="21"/>
    <n v="481591"/>
    <n v="12.978432384604"/>
  </r>
  <r>
    <x v="22"/>
    <n v="150913"/>
    <n v="9.7127320954907201"/>
  </r>
  <r>
    <x v="23"/>
    <n v="7155958"/>
    <n v="13.62090595917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5785ED-83AC-4C3D-8C49-26FCA82C8047}"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peciality">
  <location ref="A3:C26" firstHeaderRow="0" firstDataRow="1" firstDataCol="1"/>
  <pivotFields count="3">
    <pivotField axis="axisRow" showAll="0" sortType="descending">
      <items count="25">
        <item x="11"/>
        <item x="8"/>
        <item x="12"/>
        <item x="3"/>
        <item x="16"/>
        <item x="10"/>
        <item x="9"/>
        <item x="0"/>
        <item x="17"/>
        <item x="14"/>
        <item x="6"/>
        <item x="4"/>
        <item x="5"/>
        <item x="18"/>
        <item x="19"/>
        <item x="22"/>
        <item x="20"/>
        <item x="21"/>
        <item x="7"/>
        <item x="13"/>
        <item x="15"/>
        <item h="1" x="23"/>
        <item x="2"/>
        <item x="1"/>
        <item t="default"/>
      </items>
      <autoSortScope>
        <pivotArea dataOnly="0" outline="0" fieldPosition="0">
          <references count="1">
            <reference field="4294967294" count="1" selected="0">
              <x v="1"/>
            </reference>
          </references>
        </pivotArea>
      </autoSortScope>
    </pivotField>
    <pivotField dataField="1" numFmtId="164" showAll="0"/>
    <pivotField dataField="1" numFmtId="166" showAll="0"/>
  </pivotFields>
  <rowFields count="1">
    <field x="0"/>
  </rowFields>
  <rowItems count="23">
    <i>
      <x v="12"/>
    </i>
    <i>
      <x v="3"/>
    </i>
    <i>
      <x v="18"/>
    </i>
    <i>
      <x v="9"/>
    </i>
    <i>
      <x v="8"/>
    </i>
    <i>
      <x v="22"/>
    </i>
    <i>
      <x v="10"/>
    </i>
    <i>
      <x v="7"/>
    </i>
    <i>
      <x v="2"/>
    </i>
    <i>
      <x v="23"/>
    </i>
    <i>
      <x v="17"/>
    </i>
    <i>
      <x/>
    </i>
    <i>
      <x v="16"/>
    </i>
    <i>
      <x v="5"/>
    </i>
    <i>
      <x v="20"/>
    </i>
    <i>
      <x v="13"/>
    </i>
    <i>
      <x v="6"/>
    </i>
    <i>
      <x v="11"/>
    </i>
    <i>
      <x v="19"/>
    </i>
    <i>
      <x v="1"/>
    </i>
    <i>
      <x v="15"/>
    </i>
    <i>
      <x v="14"/>
    </i>
    <i>
      <x v="4"/>
    </i>
  </rowItems>
  <colFields count="1">
    <field x="-2"/>
  </colFields>
  <colItems count="2">
    <i>
      <x/>
    </i>
    <i i="1">
      <x v="1"/>
    </i>
  </colItems>
  <dataFields count="2">
    <dataField name="Waiting List Size" fld="1" baseField="0" baseItem="12" numFmtId="164"/>
    <dataField name="Average wait (in weeks)" fld="2" subtotal="average" baseField="0" baseItem="12" numFmtId="166"/>
  </dataFields>
  <formats count="4">
    <format dxfId="0">
      <pivotArea outline="0" collapsedLevelsAreSubtotals="1" fieldPosition="0"/>
    </format>
    <format dxfId="1">
      <pivotArea dataOnly="0" labelOnly="1" outline="0" fieldPosition="0">
        <references count="1">
          <reference field="4294967294" count="2">
            <x v="0"/>
            <x v="1"/>
          </reference>
        </references>
      </pivotArea>
    </format>
    <format dxfId="2">
      <pivotArea outline="0" collapsedLevelsAreSubtotals="1" fieldPosition="0"/>
    </format>
    <format dxfId="3">
      <pivotArea dataOnly="0" labelOnly="1" outline="0" fieldPosition="0">
        <references count="1">
          <reference field="4294967294" count="2">
            <x v="0"/>
            <x v="1"/>
          </reference>
        </references>
      </pivotArea>
    </format>
  </format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AF69-A2D3-42CC-A849-D6C6EC7CADF4}">
  <dimension ref="A3:D26"/>
  <sheetViews>
    <sheetView tabSelected="1" workbookViewId="0">
      <selection activeCell="E27" sqref="E27"/>
    </sheetView>
  </sheetViews>
  <sheetFormatPr defaultRowHeight="14.4"/>
  <cols>
    <col min="1" max="1" width="28.109375" customWidth="1"/>
    <col min="2" max="2" width="15.33203125" style="15" customWidth="1"/>
    <col min="3" max="3" width="21.109375" style="15" bestFit="1" customWidth="1"/>
    <col min="4" max="4" width="18.109375" style="15" customWidth="1"/>
  </cols>
  <sheetData>
    <row r="3" spans="1:4">
      <c r="A3" s="13" t="s">
        <v>185</v>
      </c>
      <c r="B3" s="15" t="s">
        <v>188</v>
      </c>
      <c r="C3" s="15" t="s">
        <v>187</v>
      </c>
      <c r="D3" s="16" t="s">
        <v>189</v>
      </c>
    </row>
    <row r="4" spans="1:4">
      <c r="A4" s="14" t="s">
        <v>148</v>
      </c>
      <c r="B4" s="17">
        <v>317724</v>
      </c>
      <c r="C4" s="18">
        <v>17.0104886160143</v>
      </c>
      <c r="D4" s="15">
        <f>RANK(C4, C$4:C$26, 0)</f>
        <v>1</v>
      </c>
    </row>
    <row r="5" spans="1:4">
      <c r="A5" s="14" t="s">
        <v>144</v>
      </c>
      <c r="B5" s="17">
        <v>587673</v>
      </c>
      <c r="C5" s="18">
        <v>16.590603794488299</v>
      </c>
      <c r="D5" s="15">
        <f t="shared" ref="D5:D26" si="0">RANK(C5, C$4:C$26, 0)</f>
        <v>2</v>
      </c>
    </row>
    <row r="6" spans="1:4">
      <c r="A6" s="14" t="s">
        <v>152</v>
      </c>
      <c r="B6" s="17">
        <v>103068</v>
      </c>
      <c r="C6" s="18">
        <v>16.2220054623488</v>
      </c>
      <c r="D6" s="15">
        <f t="shared" si="0"/>
        <v>3</v>
      </c>
    </row>
    <row r="7" spans="1:4">
      <c r="A7" s="14" t="s">
        <v>166</v>
      </c>
      <c r="B7" s="17">
        <v>216423</v>
      </c>
      <c r="C7" s="18">
        <v>15.375373134328401</v>
      </c>
      <c r="D7" s="15">
        <f t="shared" si="0"/>
        <v>4</v>
      </c>
    </row>
    <row r="8" spans="1:4">
      <c r="A8" s="14" t="s">
        <v>172</v>
      </c>
      <c r="B8" s="17">
        <v>565134</v>
      </c>
      <c r="C8" s="18">
        <v>15.3320031923384</v>
      </c>
      <c r="D8" s="15">
        <f t="shared" si="0"/>
        <v>5</v>
      </c>
    </row>
    <row r="9" spans="1:4">
      <c r="A9" s="14" t="s">
        <v>142</v>
      </c>
      <c r="B9" s="17">
        <v>836764</v>
      </c>
      <c r="C9" s="18">
        <v>15.0561987041037</v>
      </c>
      <c r="D9" s="15">
        <f t="shared" si="0"/>
        <v>6</v>
      </c>
    </row>
    <row r="10" spans="1:4">
      <c r="A10" s="14" t="s">
        <v>150</v>
      </c>
      <c r="B10" s="17">
        <v>57289</v>
      </c>
      <c r="C10" s="18">
        <v>14.361428571428601</v>
      </c>
      <c r="D10" s="15">
        <f t="shared" si="0"/>
        <v>7</v>
      </c>
    </row>
    <row r="11" spans="1:4">
      <c r="A11" s="14" t="s">
        <v>138</v>
      </c>
      <c r="B11" s="17">
        <v>386068</v>
      </c>
      <c r="C11" s="18">
        <v>14.242948476871</v>
      </c>
      <c r="D11" s="15">
        <f t="shared" si="0"/>
        <v>8</v>
      </c>
    </row>
    <row r="12" spans="1:4">
      <c r="A12" s="14" t="s">
        <v>162</v>
      </c>
      <c r="B12" s="17">
        <v>396171</v>
      </c>
      <c r="C12" s="18">
        <v>14.0360400555225</v>
      </c>
      <c r="D12" s="15">
        <f t="shared" si="0"/>
        <v>9</v>
      </c>
    </row>
    <row r="13" spans="1:4">
      <c r="A13" s="14" t="s">
        <v>140</v>
      </c>
      <c r="B13" s="17">
        <v>389052</v>
      </c>
      <c r="C13" s="18">
        <v>13.071814456035799</v>
      </c>
      <c r="D13" s="15">
        <f t="shared" si="0"/>
        <v>10</v>
      </c>
    </row>
    <row r="14" spans="1:4">
      <c r="A14" s="14" t="s">
        <v>180</v>
      </c>
      <c r="B14" s="17">
        <v>481591</v>
      </c>
      <c r="C14" s="18">
        <v>12.978432384604</v>
      </c>
      <c r="D14" s="15">
        <f t="shared" si="0"/>
        <v>11</v>
      </c>
    </row>
    <row r="15" spans="1:4">
      <c r="A15" s="14" t="s">
        <v>160</v>
      </c>
      <c r="B15" s="17">
        <v>383680</v>
      </c>
      <c r="C15" s="18">
        <v>12.9002405773857</v>
      </c>
      <c r="D15" s="15">
        <f t="shared" si="0"/>
        <v>12</v>
      </c>
    </row>
    <row r="16" spans="1:4">
      <c r="A16" s="14" t="s">
        <v>178</v>
      </c>
      <c r="B16" s="17">
        <v>314575</v>
      </c>
      <c r="C16" s="18">
        <v>12.896283536903599</v>
      </c>
      <c r="D16" s="15">
        <f t="shared" si="0"/>
        <v>13</v>
      </c>
    </row>
    <row r="17" spans="1:4">
      <c r="A17" s="14" t="s">
        <v>158</v>
      </c>
      <c r="B17" s="17">
        <v>383007</v>
      </c>
      <c r="C17" s="18">
        <v>12.636004560631999</v>
      </c>
      <c r="D17" s="15">
        <f t="shared" si="0"/>
        <v>14</v>
      </c>
    </row>
    <row r="18" spans="1:4">
      <c r="A18" s="14" t="s">
        <v>168</v>
      </c>
      <c r="B18" s="17">
        <v>115918</v>
      </c>
      <c r="C18" s="18">
        <v>12.1529411764706</v>
      </c>
      <c r="D18" s="15">
        <f t="shared" si="0"/>
        <v>15</v>
      </c>
    </row>
    <row r="19" spans="1:4">
      <c r="A19" s="14" t="s">
        <v>174</v>
      </c>
      <c r="B19" s="17">
        <v>616287</v>
      </c>
      <c r="C19" s="18">
        <v>12.010812632889101</v>
      </c>
      <c r="D19" s="15">
        <f t="shared" si="0"/>
        <v>16</v>
      </c>
    </row>
    <row r="20" spans="1:4">
      <c r="A20" s="14" t="s">
        <v>156</v>
      </c>
      <c r="B20" s="17">
        <v>34818</v>
      </c>
      <c r="C20" s="18">
        <v>11.906275468622701</v>
      </c>
      <c r="D20" s="15">
        <f t="shared" si="0"/>
        <v>17</v>
      </c>
    </row>
    <row r="21" spans="1:4">
      <c r="A21" s="14" t="s">
        <v>146</v>
      </c>
      <c r="B21" s="17">
        <v>596635</v>
      </c>
      <c r="C21" s="18">
        <v>11.3373210204748</v>
      </c>
      <c r="D21" s="15">
        <f t="shared" si="0"/>
        <v>18</v>
      </c>
    </row>
    <row r="22" spans="1:4">
      <c r="A22" s="14" t="s">
        <v>164</v>
      </c>
      <c r="B22" s="17">
        <v>184826</v>
      </c>
      <c r="C22" s="18">
        <v>11.202358490566001</v>
      </c>
      <c r="D22" s="15">
        <f t="shared" si="0"/>
        <v>19</v>
      </c>
    </row>
    <row r="23" spans="1:4">
      <c r="A23" s="14" t="s">
        <v>154</v>
      </c>
      <c r="B23" s="17">
        <v>9041</v>
      </c>
      <c r="C23" s="18">
        <v>10.912202380952399</v>
      </c>
      <c r="D23" s="15">
        <f t="shared" si="0"/>
        <v>20</v>
      </c>
    </row>
    <row r="24" spans="1:4">
      <c r="A24" s="14" t="s">
        <v>182</v>
      </c>
      <c r="B24" s="17">
        <v>150913</v>
      </c>
      <c r="C24" s="18">
        <v>9.7127320954907201</v>
      </c>
      <c r="D24" s="15">
        <f t="shared" si="0"/>
        <v>21</v>
      </c>
    </row>
    <row r="25" spans="1:4">
      <c r="A25" s="14" t="s">
        <v>176</v>
      </c>
      <c r="B25" s="17">
        <v>2969</v>
      </c>
      <c r="C25" s="18">
        <v>9.2441860465116292</v>
      </c>
      <c r="D25" s="15">
        <f t="shared" si="0"/>
        <v>22</v>
      </c>
    </row>
    <row r="26" spans="1:4">
      <c r="A26" s="14" t="s">
        <v>170</v>
      </c>
      <c r="B26" s="17">
        <v>26332</v>
      </c>
      <c r="C26" s="18">
        <v>8.6933333333333298</v>
      </c>
      <c r="D26" s="15">
        <f t="shared" si="0"/>
        <v>23</v>
      </c>
    </row>
  </sheetData>
  <conditionalFormatting sqref="C3">
    <cfRule type="colorScale" priority="2">
      <colorScale>
        <cfvo type="min"/>
        <cfvo type="max"/>
        <color rgb="FFFCFCFF"/>
        <color rgb="FFF8696B"/>
      </colorScale>
    </cfRule>
  </conditionalFormatting>
  <conditionalFormatting sqref="C1:C1048576">
    <cfRule type="colorScale" priority="1">
      <colorScale>
        <cfvo type="min"/>
        <cfvo type="max"/>
        <color rgb="FFFCFCFF"/>
        <color rgb="FFF8696B"/>
      </colorScale>
    </cfRule>
  </conditionalFormatting>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B871F-910B-43BA-8F7F-6DB695AC422C}">
  <dimension ref="C3:E26"/>
  <sheetViews>
    <sheetView topLeftCell="A2" workbookViewId="0">
      <selection activeCell="A13" sqref="A13:XFD13"/>
    </sheetView>
  </sheetViews>
  <sheetFormatPr defaultRowHeight="14.4"/>
  <cols>
    <col min="3" max="3" width="29.88671875" customWidth="1"/>
    <col min="4" max="4" width="16" customWidth="1"/>
    <col min="5" max="5" width="15.109375" customWidth="1"/>
  </cols>
  <sheetData>
    <row r="3" spans="3:5" ht="26.4">
      <c r="C3" s="6" t="s">
        <v>185</v>
      </c>
      <c r="D3" s="7" t="s">
        <v>188</v>
      </c>
      <c r="E3" s="7" t="s">
        <v>186</v>
      </c>
    </row>
    <row r="4" spans="3:5">
      <c r="C4" s="8" t="s">
        <v>148</v>
      </c>
      <c r="D4" s="9">
        <v>317724</v>
      </c>
      <c r="E4" s="11">
        <v>17.0104886160143</v>
      </c>
    </row>
    <row r="5" spans="3:5">
      <c r="C5" s="8" t="s">
        <v>144</v>
      </c>
      <c r="D5" s="9">
        <v>587673</v>
      </c>
      <c r="E5" s="11">
        <v>16.590603794488299</v>
      </c>
    </row>
    <row r="6" spans="3:5">
      <c r="C6" s="8" t="s">
        <v>152</v>
      </c>
      <c r="D6" s="9">
        <v>103068</v>
      </c>
      <c r="E6" s="11">
        <v>16.2220054623488</v>
      </c>
    </row>
    <row r="7" spans="3:5">
      <c r="C7" s="8" t="s">
        <v>166</v>
      </c>
      <c r="D7" s="9">
        <v>216423</v>
      </c>
      <c r="E7" s="11">
        <v>15.375373134328401</v>
      </c>
    </row>
    <row r="8" spans="3:5">
      <c r="C8" s="8" t="s">
        <v>172</v>
      </c>
      <c r="D8" s="9">
        <v>565134</v>
      </c>
      <c r="E8" s="11">
        <v>15.3320031923384</v>
      </c>
    </row>
    <row r="9" spans="3:5">
      <c r="C9" s="8" t="s">
        <v>142</v>
      </c>
      <c r="D9" s="9">
        <v>836764</v>
      </c>
      <c r="E9" s="11">
        <v>15.0561987041037</v>
      </c>
    </row>
    <row r="10" spans="3:5">
      <c r="C10" s="8" t="s">
        <v>150</v>
      </c>
      <c r="D10" s="9">
        <v>57289</v>
      </c>
      <c r="E10" s="11">
        <v>14.361428571428601</v>
      </c>
    </row>
    <row r="11" spans="3:5">
      <c r="C11" s="8" t="s">
        <v>138</v>
      </c>
      <c r="D11" s="9">
        <v>386068</v>
      </c>
      <c r="E11" s="11">
        <v>14.242948476871</v>
      </c>
    </row>
    <row r="12" spans="3:5">
      <c r="C12" s="8" t="s">
        <v>162</v>
      </c>
      <c r="D12" s="9">
        <v>396171</v>
      </c>
      <c r="E12" s="11">
        <v>14.0360400555225</v>
      </c>
    </row>
    <row r="13" spans="3:5">
      <c r="C13" s="8" t="s">
        <v>140</v>
      </c>
      <c r="D13" s="9">
        <v>389052</v>
      </c>
      <c r="E13" s="11">
        <v>13.071814456035799</v>
      </c>
    </row>
    <row r="14" spans="3:5">
      <c r="C14" s="8" t="s">
        <v>180</v>
      </c>
      <c r="D14" s="9">
        <v>481591</v>
      </c>
      <c r="E14" s="11">
        <v>12.978432384604</v>
      </c>
    </row>
    <row r="15" spans="3:5">
      <c r="C15" s="8" t="s">
        <v>160</v>
      </c>
      <c r="D15" s="9">
        <v>383680</v>
      </c>
      <c r="E15" s="11">
        <v>12.9002405773857</v>
      </c>
    </row>
    <row r="16" spans="3:5">
      <c r="C16" s="8" t="s">
        <v>178</v>
      </c>
      <c r="D16" s="9">
        <v>314575</v>
      </c>
      <c r="E16" s="11">
        <v>12.896283536903599</v>
      </c>
    </row>
    <row r="17" spans="3:5">
      <c r="C17" s="8" t="s">
        <v>158</v>
      </c>
      <c r="D17" s="9">
        <v>383007</v>
      </c>
      <c r="E17" s="11">
        <v>12.636004560631999</v>
      </c>
    </row>
    <row r="18" spans="3:5">
      <c r="C18" s="8" t="s">
        <v>168</v>
      </c>
      <c r="D18" s="9">
        <v>115918</v>
      </c>
      <c r="E18" s="11">
        <v>12.1529411764706</v>
      </c>
    </row>
    <row r="19" spans="3:5">
      <c r="C19" s="8" t="s">
        <v>174</v>
      </c>
      <c r="D19" s="9">
        <v>616287</v>
      </c>
      <c r="E19" s="11">
        <v>12.010812632889101</v>
      </c>
    </row>
    <row r="20" spans="3:5">
      <c r="C20" s="8" t="s">
        <v>156</v>
      </c>
      <c r="D20" s="9">
        <v>34818</v>
      </c>
      <c r="E20" s="11">
        <v>11.906275468622701</v>
      </c>
    </row>
    <row r="21" spans="3:5">
      <c r="C21" s="8" t="s">
        <v>146</v>
      </c>
      <c r="D21" s="9">
        <v>596635</v>
      </c>
      <c r="E21" s="11">
        <v>11.3373210204748</v>
      </c>
    </row>
    <row r="22" spans="3:5">
      <c r="C22" s="8" t="s">
        <v>164</v>
      </c>
      <c r="D22" s="9">
        <v>184826</v>
      </c>
      <c r="E22" s="11">
        <v>11.202358490566001</v>
      </c>
    </row>
    <row r="23" spans="3:5">
      <c r="C23" s="8" t="s">
        <v>154</v>
      </c>
      <c r="D23" s="9">
        <v>9041</v>
      </c>
      <c r="E23" s="11">
        <v>10.912202380952399</v>
      </c>
    </row>
    <row r="24" spans="3:5">
      <c r="C24" s="8" t="s">
        <v>182</v>
      </c>
      <c r="D24" s="9">
        <v>150913</v>
      </c>
      <c r="E24" s="11">
        <v>9.7127320954907201</v>
      </c>
    </row>
    <row r="25" spans="3:5">
      <c r="C25" s="8" t="s">
        <v>176</v>
      </c>
      <c r="D25" s="9">
        <v>2969</v>
      </c>
      <c r="E25" s="11">
        <v>9.2441860465116292</v>
      </c>
    </row>
    <row r="26" spans="3:5">
      <c r="C26" s="8" t="s">
        <v>170</v>
      </c>
      <c r="D26" s="9">
        <v>26332</v>
      </c>
      <c r="E26" s="11">
        <v>8.6933333333333298</v>
      </c>
    </row>
  </sheetData>
  <sortState xmlns:xlrd2="http://schemas.microsoft.com/office/spreadsheetml/2017/richdata2" ref="C3:E26">
    <sortCondition descending="1" ref="E3:E2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M38"/>
  <sheetViews>
    <sheetView showGridLines="0" zoomScale="70" workbookViewId="0">
      <selection activeCell="DH38" sqref="DH38"/>
    </sheetView>
  </sheetViews>
  <sheetFormatPr defaultColWidth="11.44140625" defaultRowHeight="14.4" outlineLevelCol="1"/>
  <cols>
    <col min="1" max="1" width="2" customWidth="1"/>
    <col min="2" max="2" width="11.6640625" customWidth="1"/>
    <col min="3" max="3" width="55.6640625" customWidth="1"/>
    <col min="4" max="108" width="9.33203125" hidden="1" customWidth="1" outlineLevel="1"/>
    <col min="109" max="109" width="13.6640625" customWidth="1" collapsed="1"/>
    <col min="110" max="117" width="13.6640625" customWidth="1"/>
    <col min="118" max="119" width="9.109375" customWidth="1"/>
  </cols>
  <sheetData>
    <row r="1" spans="2:117" ht="10.5" customHeight="1"/>
    <row r="2" spans="2:117" ht="15" customHeight="1">
      <c r="B2" s="1" t="s">
        <v>0</v>
      </c>
      <c r="C2" s="2" t="s">
        <v>1</v>
      </c>
      <c r="DH2" s="3" t="s">
        <v>2</v>
      </c>
    </row>
    <row r="3" spans="2:117" ht="15" customHeight="1">
      <c r="B3" s="1" t="s">
        <v>3</v>
      </c>
      <c r="C3" s="4" t="s">
        <v>4</v>
      </c>
    </row>
    <row r="4" spans="2:117" ht="15" customHeight="1">
      <c r="B4" s="1"/>
      <c r="C4" s="5"/>
    </row>
    <row r="5" spans="2:117" ht="15" customHeight="1">
      <c r="B5" s="1" t="s">
        <v>5</v>
      </c>
      <c r="C5" s="2" t="s">
        <v>133</v>
      </c>
    </row>
    <row r="6" spans="2:117" ht="15" customHeight="1">
      <c r="B6" s="1" t="s">
        <v>6</v>
      </c>
      <c r="C6" s="4" t="s">
        <v>7</v>
      </c>
    </row>
    <row r="7" spans="2:117" ht="15" customHeight="1">
      <c r="B7" s="1" t="s">
        <v>8</v>
      </c>
      <c r="C7" s="4" t="s">
        <v>9</v>
      </c>
    </row>
    <row r="8" spans="2:117" ht="15" customHeight="1">
      <c r="B8" s="1" t="s">
        <v>10</v>
      </c>
      <c r="C8" s="4" t="s">
        <v>134</v>
      </c>
    </row>
    <row r="9" spans="2:117" ht="15" customHeight="1">
      <c r="B9" s="1" t="s">
        <v>11</v>
      </c>
      <c r="C9" s="4" t="s">
        <v>135</v>
      </c>
    </row>
    <row r="10" spans="2:117" ht="15" customHeight="1">
      <c r="B10" s="1" t="s">
        <v>12</v>
      </c>
      <c r="C10" s="4" t="s">
        <v>136</v>
      </c>
    </row>
    <row r="11" spans="2:117" ht="15" customHeight="1">
      <c r="B11" s="1" t="s">
        <v>13</v>
      </c>
      <c r="C11" s="4" t="s">
        <v>14</v>
      </c>
    </row>
    <row r="12" spans="2:117" ht="15" customHeight="1">
      <c r="B12" s="5"/>
      <c r="C12" s="5"/>
    </row>
    <row r="13" spans="2:117" ht="15" customHeight="1">
      <c r="B13" s="2" t="s">
        <v>15</v>
      </c>
      <c r="C13" s="5"/>
      <c r="D13" s="12" t="s">
        <v>16</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row>
    <row r="14" spans="2:117" ht="66.75" customHeight="1">
      <c r="B14" s="6" t="s">
        <v>17</v>
      </c>
      <c r="C14" s="6" t="s">
        <v>18</v>
      </c>
      <c r="D14" s="7" t="s">
        <v>19</v>
      </c>
      <c r="E14" s="7" t="s">
        <v>20</v>
      </c>
      <c r="F14" s="7" t="s">
        <v>21</v>
      </c>
      <c r="G14" s="7" t="s">
        <v>22</v>
      </c>
      <c r="H14" s="7" t="s">
        <v>23</v>
      </c>
      <c r="I14" s="7" t="s">
        <v>24</v>
      </c>
      <c r="J14" s="7" t="s">
        <v>25</v>
      </c>
      <c r="K14" s="7" t="s">
        <v>26</v>
      </c>
      <c r="L14" s="7" t="s">
        <v>27</v>
      </c>
      <c r="M14" s="7" t="s">
        <v>28</v>
      </c>
      <c r="N14" s="7" t="s">
        <v>29</v>
      </c>
      <c r="O14" s="7" t="s">
        <v>30</v>
      </c>
      <c r="P14" s="7" t="s">
        <v>31</v>
      </c>
      <c r="Q14" s="7" t="s">
        <v>32</v>
      </c>
      <c r="R14" s="7" t="s">
        <v>33</v>
      </c>
      <c r="S14" s="7" t="s">
        <v>34</v>
      </c>
      <c r="T14" s="7" t="s">
        <v>35</v>
      </c>
      <c r="U14" s="7" t="s">
        <v>36</v>
      </c>
      <c r="V14" s="7" t="s">
        <v>37</v>
      </c>
      <c r="W14" s="7" t="s">
        <v>38</v>
      </c>
      <c r="X14" s="7" t="s">
        <v>39</v>
      </c>
      <c r="Y14" s="7" t="s">
        <v>40</v>
      </c>
      <c r="Z14" s="7" t="s">
        <v>41</v>
      </c>
      <c r="AA14" s="7" t="s">
        <v>42</v>
      </c>
      <c r="AB14" s="7" t="s">
        <v>43</v>
      </c>
      <c r="AC14" s="7" t="s">
        <v>44</v>
      </c>
      <c r="AD14" s="7" t="s">
        <v>45</v>
      </c>
      <c r="AE14" s="7" t="s">
        <v>46</v>
      </c>
      <c r="AF14" s="7" t="s">
        <v>47</v>
      </c>
      <c r="AG14" s="7" t="s">
        <v>48</v>
      </c>
      <c r="AH14" s="7" t="s">
        <v>49</v>
      </c>
      <c r="AI14" s="7" t="s">
        <v>50</v>
      </c>
      <c r="AJ14" s="7" t="s">
        <v>51</v>
      </c>
      <c r="AK14" s="7" t="s">
        <v>52</v>
      </c>
      <c r="AL14" s="7" t="s">
        <v>53</v>
      </c>
      <c r="AM14" s="7" t="s">
        <v>54</v>
      </c>
      <c r="AN14" s="7" t="s">
        <v>55</v>
      </c>
      <c r="AO14" s="7" t="s">
        <v>56</v>
      </c>
      <c r="AP14" s="7" t="s">
        <v>57</v>
      </c>
      <c r="AQ14" s="7" t="s">
        <v>58</v>
      </c>
      <c r="AR14" s="7" t="s">
        <v>59</v>
      </c>
      <c r="AS14" s="7" t="s">
        <v>60</v>
      </c>
      <c r="AT14" s="7" t="s">
        <v>61</v>
      </c>
      <c r="AU14" s="7" t="s">
        <v>62</v>
      </c>
      <c r="AV14" s="7" t="s">
        <v>63</v>
      </c>
      <c r="AW14" s="7" t="s">
        <v>64</v>
      </c>
      <c r="AX14" s="7" t="s">
        <v>65</v>
      </c>
      <c r="AY14" s="7" t="s">
        <v>66</v>
      </c>
      <c r="AZ14" s="7" t="s">
        <v>67</v>
      </c>
      <c r="BA14" s="7" t="s">
        <v>68</v>
      </c>
      <c r="BB14" s="7" t="s">
        <v>69</v>
      </c>
      <c r="BC14" s="7" t="s">
        <v>70</v>
      </c>
      <c r="BD14" s="7" t="s">
        <v>71</v>
      </c>
      <c r="BE14" s="7" t="s">
        <v>72</v>
      </c>
      <c r="BF14" s="7" t="s">
        <v>73</v>
      </c>
      <c r="BG14" s="7" t="s">
        <v>74</v>
      </c>
      <c r="BH14" s="7" t="s">
        <v>75</v>
      </c>
      <c r="BI14" s="7" t="s">
        <v>76</v>
      </c>
      <c r="BJ14" s="7" t="s">
        <v>77</v>
      </c>
      <c r="BK14" s="7" t="s">
        <v>78</v>
      </c>
      <c r="BL14" s="7" t="s">
        <v>79</v>
      </c>
      <c r="BM14" s="7" t="s">
        <v>80</v>
      </c>
      <c r="BN14" s="7" t="s">
        <v>81</v>
      </c>
      <c r="BO14" s="7" t="s">
        <v>82</v>
      </c>
      <c r="BP14" s="7" t="s">
        <v>83</v>
      </c>
      <c r="BQ14" s="7" t="s">
        <v>84</v>
      </c>
      <c r="BR14" s="7" t="s">
        <v>85</v>
      </c>
      <c r="BS14" s="7" t="s">
        <v>86</v>
      </c>
      <c r="BT14" s="7" t="s">
        <v>87</v>
      </c>
      <c r="BU14" s="7" t="s">
        <v>88</v>
      </c>
      <c r="BV14" s="7" t="s">
        <v>89</v>
      </c>
      <c r="BW14" s="7" t="s">
        <v>90</v>
      </c>
      <c r="BX14" s="7" t="s">
        <v>91</v>
      </c>
      <c r="BY14" s="7" t="s">
        <v>92</v>
      </c>
      <c r="BZ14" s="7" t="s">
        <v>93</v>
      </c>
      <c r="CA14" s="7" t="s">
        <v>94</v>
      </c>
      <c r="CB14" s="7" t="s">
        <v>95</v>
      </c>
      <c r="CC14" s="7" t="s">
        <v>96</v>
      </c>
      <c r="CD14" s="7" t="s">
        <v>97</v>
      </c>
      <c r="CE14" s="7" t="s">
        <v>98</v>
      </c>
      <c r="CF14" s="7" t="s">
        <v>99</v>
      </c>
      <c r="CG14" s="7" t="s">
        <v>100</v>
      </c>
      <c r="CH14" s="7" t="s">
        <v>101</v>
      </c>
      <c r="CI14" s="7" t="s">
        <v>102</v>
      </c>
      <c r="CJ14" s="7" t="s">
        <v>103</v>
      </c>
      <c r="CK14" s="7" t="s">
        <v>104</v>
      </c>
      <c r="CL14" s="7" t="s">
        <v>105</v>
      </c>
      <c r="CM14" s="7" t="s">
        <v>106</v>
      </c>
      <c r="CN14" s="7" t="s">
        <v>107</v>
      </c>
      <c r="CO14" s="7" t="s">
        <v>108</v>
      </c>
      <c r="CP14" s="7" t="s">
        <v>109</v>
      </c>
      <c r="CQ14" s="7" t="s">
        <v>110</v>
      </c>
      <c r="CR14" s="7" t="s">
        <v>111</v>
      </c>
      <c r="CS14" s="7" t="s">
        <v>112</v>
      </c>
      <c r="CT14" s="7" t="s">
        <v>113</v>
      </c>
      <c r="CU14" s="7" t="s">
        <v>114</v>
      </c>
      <c r="CV14" s="7" t="s">
        <v>115</v>
      </c>
      <c r="CW14" s="7" t="s">
        <v>116</v>
      </c>
      <c r="CX14" s="7" t="s">
        <v>117</v>
      </c>
      <c r="CY14" s="7" t="s">
        <v>118</v>
      </c>
      <c r="CZ14" s="7" t="s">
        <v>119</v>
      </c>
      <c r="DA14" s="7" t="s">
        <v>120</v>
      </c>
      <c r="DB14" s="7" t="s">
        <v>121</v>
      </c>
      <c r="DC14" s="7" t="s">
        <v>122</v>
      </c>
      <c r="DD14" s="7" t="s">
        <v>123</v>
      </c>
      <c r="DE14" s="7" t="s">
        <v>124</v>
      </c>
      <c r="DF14" s="7" t="s">
        <v>125</v>
      </c>
      <c r="DG14" s="7" t="s">
        <v>126</v>
      </c>
      <c r="DH14" s="7" t="s">
        <v>127</v>
      </c>
      <c r="DI14" s="7" t="s">
        <v>128</v>
      </c>
      <c r="DJ14" s="7" t="s">
        <v>129</v>
      </c>
      <c r="DK14" s="7" t="s">
        <v>130</v>
      </c>
      <c r="DL14" s="7" t="s">
        <v>131</v>
      </c>
      <c r="DM14" s="7" t="s">
        <v>132</v>
      </c>
    </row>
    <row r="15" spans="2:117" ht="12.75" customHeight="1">
      <c r="B15" s="8" t="s">
        <v>137</v>
      </c>
      <c r="C15" s="8" t="s">
        <v>138</v>
      </c>
      <c r="D15" s="9">
        <v>19652</v>
      </c>
      <c r="E15" s="9">
        <v>19356</v>
      </c>
      <c r="F15" s="9">
        <v>17992</v>
      </c>
      <c r="G15" s="9">
        <v>16353</v>
      </c>
      <c r="H15" s="9">
        <v>9482</v>
      </c>
      <c r="I15" s="9">
        <v>8250</v>
      </c>
      <c r="J15" s="9">
        <v>13931</v>
      </c>
      <c r="K15" s="9">
        <v>13370</v>
      </c>
      <c r="L15" s="9">
        <v>12907</v>
      </c>
      <c r="M15" s="9">
        <v>12635</v>
      </c>
      <c r="N15" s="9">
        <v>12055</v>
      </c>
      <c r="O15" s="9">
        <v>12317</v>
      </c>
      <c r="P15" s="9">
        <v>11608</v>
      </c>
      <c r="Q15" s="9">
        <v>10542</v>
      </c>
      <c r="R15" s="9">
        <v>10636</v>
      </c>
      <c r="S15" s="9">
        <v>10314</v>
      </c>
      <c r="T15" s="9">
        <v>9421</v>
      </c>
      <c r="U15" s="9">
        <v>9099</v>
      </c>
      <c r="V15" s="9">
        <v>8179</v>
      </c>
      <c r="W15" s="9">
        <v>7760</v>
      </c>
      <c r="X15" s="9">
        <v>7623</v>
      </c>
      <c r="Y15" s="9">
        <v>7590</v>
      </c>
      <c r="Z15" s="9">
        <v>5315</v>
      </c>
      <c r="AA15" s="9">
        <v>6400</v>
      </c>
      <c r="AB15" s="9">
        <v>6224</v>
      </c>
      <c r="AC15" s="9">
        <v>6285</v>
      </c>
      <c r="AD15" s="9">
        <v>5902</v>
      </c>
      <c r="AE15" s="9">
        <v>5844</v>
      </c>
      <c r="AF15" s="9">
        <v>5593</v>
      </c>
      <c r="AG15" s="9">
        <v>5471</v>
      </c>
      <c r="AH15" s="9">
        <v>5255</v>
      </c>
      <c r="AI15" s="9">
        <v>5136</v>
      </c>
      <c r="AJ15" s="9">
        <v>4832</v>
      </c>
      <c r="AK15" s="9">
        <v>4760</v>
      </c>
      <c r="AL15" s="9">
        <v>4564</v>
      </c>
      <c r="AM15" s="9">
        <v>3340</v>
      </c>
      <c r="AN15" s="9">
        <v>4364</v>
      </c>
      <c r="AO15" s="9">
        <v>4049</v>
      </c>
      <c r="AP15" s="9">
        <v>3112</v>
      </c>
      <c r="AQ15" s="9">
        <v>3457</v>
      </c>
      <c r="AR15" s="9">
        <v>2466</v>
      </c>
      <c r="AS15" s="9">
        <v>2527</v>
      </c>
      <c r="AT15" s="9">
        <v>2855</v>
      </c>
      <c r="AU15" s="9">
        <v>2643</v>
      </c>
      <c r="AV15" s="9">
        <v>2358</v>
      </c>
      <c r="AW15" s="9">
        <v>2361</v>
      </c>
      <c r="AX15" s="9">
        <v>2249</v>
      </c>
      <c r="AY15" s="9">
        <v>2028</v>
      </c>
      <c r="AZ15" s="9">
        <v>1919</v>
      </c>
      <c r="BA15" s="9">
        <v>1640</v>
      </c>
      <c r="BB15" s="9">
        <v>1595</v>
      </c>
      <c r="BC15" s="9">
        <v>1510</v>
      </c>
      <c r="BD15" s="9">
        <v>1316</v>
      </c>
      <c r="BE15" s="9">
        <v>1184</v>
      </c>
      <c r="BF15" s="9">
        <v>1018</v>
      </c>
      <c r="BG15" s="9">
        <v>876</v>
      </c>
      <c r="BH15" s="9">
        <v>671</v>
      </c>
      <c r="BI15" s="9">
        <v>377</v>
      </c>
      <c r="BJ15" s="9">
        <v>666</v>
      </c>
      <c r="BK15" s="9">
        <v>597</v>
      </c>
      <c r="BL15" s="9">
        <v>555</v>
      </c>
      <c r="BM15" s="9">
        <v>419</v>
      </c>
      <c r="BN15" s="9">
        <v>360</v>
      </c>
      <c r="BO15" s="9">
        <v>293</v>
      </c>
      <c r="BP15" s="9">
        <v>253</v>
      </c>
      <c r="BQ15" s="9">
        <v>73</v>
      </c>
      <c r="BR15" s="9">
        <v>49</v>
      </c>
      <c r="BS15" s="9">
        <v>35</v>
      </c>
      <c r="BT15" s="9">
        <v>36</v>
      </c>
      <c r="BU15" s="9">
        <v>21</v>
      </c>
      <c r="BV15" s="9">
        <v>15</v>
      </c>
      <c r="BW15" s="9">
        <v>18</v>
      </c>
      <c r="BX15" s="9">
        <v>14</v>
      </c>
      <c r="BY15" s="9">
        <v>9</v>
      </c>
      <c r="BZ15" s="9">
        <v>6</v>
      </c>
      <c r="CA15" s="9">
        <v>10</v>
      </c>
      <c r="CB15" s="9">
        <v>12</v>
      </c>
      <c r="CC15" s="9">
        <v>8</v>
      </c>
      <c r="CD15" s="9">
        <v>5</v>
      </c>
      <c r="CE15" s="9">
        <v>2</v>
      </c>
      <c r="CF15" s="9">
        <v>3</v>
      </c>
      <c r="CG15" s="9">
        <v>6</v>
      </c>
      <c r="CH15" s="9">
        <v>4</v>
      </c>
      <c r="CI15" s="9">
        <v>4</v>
      </c>
      <c r="CJ15" s="9">
        <v>8</v>
      </c>
      <c r="CK15" s="9">
        <v>1</v>
      </c>
      <c r="CL15" s="9">
        <v>1</v>
      </c>
      <c r="CM15" s="9">
        <v>3</v>
      </c>
      <c r="CN15" s="9">
        <v>1</v>
      </c>
      <c r="CO15" s="9">
        <v>0</v>
      </c>
      <c r="CP15" s="9">
        <v>0</v>
      </c>
      <c r="CQ15" s="9">
        <v>0</v>
      </c>
      <c r="CR15" s="9">
        <v>0</v>
      </c>
      <c r="CS15" s="9">
        <v>1</v>
      </c>
      <c r="CT15" s="9">
        <v>1</v>
      </c>
      <c r="CU15" s="9">
        <v>0</v>
      </c>
      <c r="CV15" s="9">
        <v>1</v>
      </c>
      <c r="CW15" s="9">
        <v>1</v>
      </c>
      <c r="CX15" s="9">
        <v>2</v>
      </c>
      <c r="CY15" s="9">
        <v>0</v>
      </c>
      <c r="CZ15" s="9">
        <v>0</v>
      </c>
      <c r="DA15" s="9">
        <v>0</v>
      </c>
      <c r="DB15" s="9">
        <v>0</v>
      </c>
      <c r="DC15" s="9">
        <v>0</v>
      </c>
      <c r="DD15" s="9">
        <v>7</v>
      </c>
      <c r="DE15" s="9">
        <v>386068</v>
      </c>
      <c r="DF15" s="9">
        <v>229920</v>
      </c>
      <c r="DG15" s="10">
        <v>0.59554275412621605</v>
      </c>
      <c r="DH15" s="11">
        <v>14.242948476871</v>
      </c>
      <c r="DI15" s="11">
        <v>41.689180846854001</v>
      </c>
      <c r="DJ15" s="9">
        <v>8942</v>
      </c>
      <c r="DK15" s="9">
        <v>51</v>
      </c>
      <c r="DL15" s="9">
        <v>357</v>
      </c>
      <c r="DM15" s="10">
        <f>IF(ISERROR(DJ15/DE15),0,DJ15/DE15)</f>
        <v>2.3161722805308909E-2</v>
      </c>
    </row>
    <row r="16" spans="2:117" ht="12.75" customHeight="1">
      <c r="B16" s="8" t="s">
        <v>139</v>
      </c>
      <c r="C16" s="8" t="s">
        <v>140</v>
      </c>
      <c r="D16" s="9">
        <v>20792</v>
      </c>
      <c r="E16" s="9">
        <v>20953</v>
      </c>
      <c r="F16" s="9">
        <v>19487</v>
      </c>
      <c r="G16" s="9">
        <v>17654</v>
      </c>
      <c r="H16" s="9">
        <v>10444</v>
      </c>
      <c r="I16" s="9">
        <v>9809</v>
      </c>
      <c r="J16" s="9">
        <v>15661</v>
      </c>
      <c r="K16" s="9">
        <v>14846</v>
      </c>
      <c r="L16" s="9">
        <v>14338</v>
      </c>
      <c r="M16" s="9">
        <v>13247</v>
      </c>
      <c r="N16" s="9">
        <v>12702</v>
      </c>
      <c r="O16" s="9">
        <v>12164</v>
      </c>
      <c r="P16" s="9">
        <v>11658</v>
      </c>
      <c r="Q16" s="9">
        <v>10736</v>
      </c>
      <c r="R16" s="9">
        <v>10747</v>
      </c>
      <c r="S16" s="9">
        <v>10443</v>
      </c>
      <c r="T16" s="9">
        <v>9603</v>
      </c>
      <c r="U16" s="9">
        <v>9201</v>
      </c>
      <c r="V16" s="9">
        <v>8032</v>
      </c>
      <c r="W16" s="9">
        <v>7648</v>
      </c>
      <c r="X16" s="9">
        <v>7350</v>
      </c>
      <c r="Y16" s="9">
        <v>7071</v>
      </c>
      <c r="Z16" s="9">
        <v>5156</v>
      </c>
      <c r="AA16" s="9">
        <v>6024</v>
      </c>
      <c r="AB16" s="9">
        <v>6002</v>
      </c>
      <c r="AC16" s="9">
        <v>5852</v>
      </c>
      <c r="AD16" s="9">
        <v>5459</v>
      </c>
      <c r="AE16" s="9">
        <v>5343</v>
      </c>
      <c r="AF16" s="9">
        <v>4960</v>
      </c>
      <c r="AG16" s="9">
        <v>5057</v>
      </c>
      <c r="AH16" s="9">
        <v>4925</v>
      </c>
      <c r="AI16" s="9">
        <v>4545</v>
      </c>
      <c r="AJ16" s="9">
        <v>4212</v>
      </c>
      <c r="AK16" s="9">
        <v>4329</v>
      </c>
      <c r="AL16" s="9">
        <v>4162</v>
      </c>
      <c r="AM16" s="9">
        <v>3108</v>
      </c>
      <c r="AN16" s="9">
        <v>3820</v>
      </c>
      <c r="AO16" s="9">
        <v>3440</v>
      </c>
      <c r="AP16" s="9">
        <v>2787</v>
      </c>
      <c r="AQ16" s="9">
        <v>3183</v>
      </c>
      <c r="AR16" s="9">
        <v>2226</v>
      </c>
      <c r="AS16" s="9">
        <v>2401</v>
      </c>
      <c r="AT16" s="9">
        <v>2881</v>
      </c>
      <c r="AU16" s="9">
        <v>2530</v>
      </c>
      <c r="AV16" s="9">
        <v>2175</v>
      </c>
      <c r="AW16" s="9">
        <v>2195</v>
      </c>
      <c r="AX16" s="9">
        <v>1963</v>
      </c>
      <c r="AY16" s="9">
        <v>1937</v>
      </c>
      <c r="AZ16" s="9">
        <v>1653</v>
      </c>
      <c r="BA16" s="9">
        <v>1462</v>
      </c>
      <c r="BB16" s="9">
        <v>1487</v>
      </c>
      <c r="BC16" s="9">
        <v>1353</v>
      </c>
      <c r="BD16" s="9">
        <v>1066</v>
      </c>
      <c r="BE16" s="9">
        <v>1054</v>
      </c>
      <c r="BF16" s="9">
        <v>912</v>
      </c>
      <c r="BG16" s="9">
        <v>798</v>
      </c>
      <c r="BH16" s="9">
        <v>478</v>
      </c>
      <c r="BI16" s="9">
        <v>337</v>
      </c>
      <c r="BJ16" s="9">
        <v>580</v>
      </c>
      <c r="BK16" s="9">
        <v>525</v>
      </c>
      <c r="BL16" s="9">
        <v>471</v>
      </c>
      <c r="BM16" s="9">
        <v>361</v>
      </c>
      <c r="BN16" s="9">
        <v>342</v>
      </c>
      <c r="BO16" s="9">
        <v>268</v>
      </c>
      <c r="BP16" s="9">
        <v>214</v>
      </c>
      <c r="BQ16" s="9">
        <v>70</v>
      </c>
      <c r="BR16" s="9">
        <v>69</v>
      </c>
      <c r="BS16" s="9">
        <v>44</v>
      </c>
      <c r="BT16" s="9">
        <v>33</v>
      </c>
      <c r="BU16" s="9">
        <v>25</v>
      </c>
      <c r="BV16" s="9">
        <v>15</v>
      </c>
      <c r="BW16" s="9">
        <v>18</v>
      </c>
      <c r="BX16" s="9">
        <v>21</v>
      </c>
      <c r="BY16" s="9">
        <v>11</v>
      </c>
      <c r="BZ16" s="9">
        <v>6</v>
      </c>
      <c r="CA16" s="9">
        <v>11</v>
      </c>
      <c r="CB16" s="9">
        <v>9</v>
      </c>
      <c r="CC16" s="9">
        <v>6</v>
      </c>
      <c r="CD16" s="9">
        <v>11</v>
      </c>
      <c r="CE16" s="9">
        <v>10</v>
      </c>
      <c r="CF16" s="9">
        <v>5</v>
      </c>
      <c r="CG16" s="9">
        <v>3</v>
      </c>
      <c r="CH16" s="9">
        <v>9</v>
      </c>
      <c r="CI16" s="9">
        <v>3</v>
      </c>
      <c r="CJ16" s="9">
        <v>1</v>
      </c>
      <c r="CK16" s="9">
        <v>2</v>
      </c>
      <c r="CL16" s="9">
        <v>0</v>
      </c>
      <c r="CM16" s="9">
        <v>0</v>
      </c>
      <c r="CN16" s="9">
        <v>3</v>
      </c>
      <c r="CO16" s="9">
        <v>6</v>
      </c>
      <c r="CP16" s="9">
        <v>1</v>
      </c>
      <c r="CQ16" s="9">
        <v>2</v>
      </c>
      <c r="CR16" s="9">
        <v>2</v>
      </c>
      <c r="CS16" s="9">
        <v>0</v>
      </c>
      <c r="CT16" s="9">
        <v>2</v>
      </c>
      <c r="CU16" s="9">
        <v>1</v>
      </c>
      <c r="CV16" s="9">
        <v>0</v>
      </c>
      <c r="CW16" s="9">
        <v>1</v>
      </c>
      <c r="CX16" s="9">
        <v>1</v>
      </c>
      <c r="CY16" s="9">
        <v>0</v>
      </c>
      <c r="CZ16" s="9">
        <v>1</v>
      </c>
      <c r="DA16" s="9">
        <v>0</v>
      </c>
      <c r="DB16" s="9">
        <v>1</v>
      </c>
      <c r="DC16" s="9">
        <v>1</v>
      </c>
      <c r="DD16" s="9">
        <v>29</v>
      </c>
      <c r="DE16" s="9">
        <v>389052</v>
      </c>
      <c r="DF16" s="9">
        <v>244485</v>
      </c>
      <c r="DG16" s="10">
        <v>0.62841214027944803</v>
      </c>
      <c r="DH16" s="11">
        <v>13.071814456035799</v>
      </c>
      <c r="DI16" s="11">
        <v>40.439281221922698</v>
      </c>
      <c r="DJ16" s="9">
        <v>7839</v>
      </c>
      <c r="DK16" s="9">
        <v>95</v>
      </c>
      <c r="DL16" s="9">
        <v>433</v>
      </c>
      <c r="DM16" s="10">
        <f t="shared" ref="DM16:DM38" si="0">IF(ISERROR(DJ16/DE16),0,DJ16/DE16)</f>
        <v>2.0148977514573889E-2</v>
      </c>
    </row>
    <row r="17" spans="2:117" ht="12.75" customHeight="1">
      <c r="B17" s="8" t="s">
        <v>141</v>
      </c>
      <c r="C17" s="8" t="s">
        <v>142</v>
      </c>
      <c r="D17" s="9">
        <v>34202</v>
      </c>
      <c r="E17" s="9">
        <v>35392</v>
      </c>
      <c r="F17" s="9">
        <v>34599</v>
      </c>
      <c r="G17" s="9">
        <v>32561</v>
      </c>
      <c r="H17" s="9">
        <v>17072</v>
      </c>
      <c r="I17" s="9">
        <v>16463</v>
      </c>
      <c r="J17" s="9">
        <v>30330</v>
      </c>
      <c r="K17" s="9">
        <v>30457</v>
      </c>
      <c r="L17" s="9">
        <v>29526</v>
      </c>
      <c r="M17" s="9">
        <v>28306</v>
      </c>
      <c r="N17" s="9">
        <v>28006</v>
      </c>
      <c r="O17" s="9">
        <v>27351</v>
      </c>
      <c r="P17" s="9">
        <v>25957</v>
      </c>
      <c r="Q17" s="9">
        <v>23026</v>
      </c>
      <c r="R17" s="9">
        <v>23833</v>
      </c>
      <c r="S17" s="9">
        <v>23150</v>
      </c>
      <c r="T17" s="9">
        <v>22821</v>
      </c>
      <c r="U17" s="9">
        <v>21536</v>
      </c>
      <c r="V17" s="9">
        <v>19121</v>
      </c>
      <c r="W17" s="9">
        <v>17877</v>
      </c>
      <c r="X17" s="9">
        <v>17806</v>
      </c>
      <c r="Y17" s="9">
        <v>16916</v>
      </c>
      <c r="Z17" s="9">
        <v>11637</v>
      </c>
      <c r="AA17" s="9">
        <v>14042</v>
      </c>
      <c r="AB17" s="9">
        <v>14128</v>
      </c>
      <c r="AC17" s="9">
        <v>13392</v>
      </c>
      <c r="AD17" s="9">
        <v>12747</v>
      </c>
      <c r="AE17" s="9">
        <v>13111</v>
      </c>
      <c r="AF17" s="9">
        <v>12598</v>
      </c>
      <c r="AG17" s="9">
        <v>12123</v>
      </c>
      <c r="AH17" s="9">
        <v>11910</v>
      </c>
      <c r="AI17" s="9">
        <v>11219</v>
      </c>
      <c r="AJ17" s="9">
        <v>10921</v>
      </c>
      <c r="AK17" s="9">
        <v>10446</v>
      </c>
      <c r="AL17" s="9">
        <v>10331</v>
      </c>
      <c r="AM17" s="9">
        <v>7249</v>
      </c>
      <c r="AN17" s="9">
        <v>9670</v>
      </c>
      <c r="AO17" s="9">
        <v>8982</v>
      </c>
      <c r="AP17" s="9">
        <v>6747</v>
      </c>
      <c r="AQ17" s="9">
        <v>7873</v>
      </c>
      <c r="AR17" s="9">
        <v>5629</v>
      </c>
      <c r="AS17" s="9">
        <v>5496</v>
      </c>
      <c r="AT17" s="9">
        <v>6706</v>
      </c>
      <c r="AU17" s="9">
        <v>6189</v>
      </c>
      <c r="AV17" s="9">
        <v>5499</v>
      </c>
      <c r="AW17" s="9">
        <v>5193</v>
      </c>
      <c r="AX17" s="9">
        <v>4882</v>
      </c>
      <c r="AY17" s="9">
        <v>4759</v>
      </c>
      <c r="AZ17" s="9">
        <v>4071</v>
      </c>
      <c r="BA17" s="9">
        <v>3562</v>
      </c>
      <c r="BB17" s="9">
        <v>3715</v>
      </c>
      <c r="BC17" s="9">
        <v>3361</v>
      </c>
      <c r="BD17" s="9">
        <v>2938</v>
      </c>
      <c r="BE17" s="9">
        <v>2719</v>
      </c>
      <c r="BF17" s="9">
        <v>2468</v>
      </c>
      <c r="BG17" s="9">
        <v>2101</v>
      </c>
      <c r="BH17" s="9">
        <v>1103</v>
      </c>
      <c r="BI17" s="9">
        <v>744</v>
      </c>
      <c r="BJ17" s="9">
        <v>1563</v>
      </c>
      <c r="BK17" s="9">
        <v>1440</v>
      </c>
      <c r="BL17" s="9">
        <v>1337</v>
      </c>
      <c r="BM17" s="9">
        <v>973</v>
      </c>
      <c r="BN17" s="9">
        <v>899</v>
      </c>
      <c r="BO17" s="9">
        <v>757</v>
      </c>
      <c r="BP17" s="9">
        <v>607</v>
      </c>
      <c r="BQ17" s="9">
        <v>237</v>
      </c>
      <c r="BR17" s="9">
        <v>263</v>
      </c>
      <c r="BS17" s="9">
        <v>217</v>
      </c>
      <c r="BT17" s="9">
        <v>161</v>
      </c>
      <c r="BU17" s="9">
        <v>152</v>
      </c>
      <c r="BV17" s="9">
        <v>144</v>
      </c>
      <c r="BW17" s="9">
        <v>116</v>
      </c>
      <c r="BX17" s="9">
        <v>152</v>
      </c>
      <c r="BY17" s="9">
        <v>126</v>
      </c>
      <c r="BZ17" s="9">
        <v>83</v>
      </c>
      <c r="CA17" s="9">
        <v>95</v>
      </c>
      <c r="CB17" s="9">
        <v>85</v>
      </c>
      <c r="CC17" s="9">
        <v>87</v>
      </c>
      <c r="CD17" s="9">
        <v>57</v>
      </c>
      <c r="CE17" s="9">
        <v>83</v>
      </c>
      <c r="CF17" s="9">
        <v>66</v>
      </c>
      <c r="CG17" s="9">
        <v>64</v>
      </c>
      <c r="CH17" s="9">
        <v>56</v>
      </c>
      <c r="CI17" s="9">
        <v>46</v>
      </c>
      <c r="CJ17" s="9">
        <v>63</v>
      </c>
      <c r="CK17" s="9">
        <v>40</v>
      </c>
      <c r="CL17" s="9">
        <v>27</v>
      </c>
      <c r="CM17" s="9">
        <v>20</v>
      </c>
      <c r="CN17" s="9">
        <v>28</v>
      </c>
      <c r="CO17" s="9">
        <v>13</v>
      </c>
      <c r="CP17" s="9">
        <v>15</v>
      </c>
      <c r="CQ17" s="9">
        <v>16</v>
      </c>
      <c r="CR17" s="9">
        <v>11</v>
      </c>
      <c r="CS17" s="9">
        <v>13</v>
      </c>
      <c r="CT17" s="9">
        <v>9</v>
      </c>
      <c r="CU17" s="9">
        <v>4</v>
      </c>
      <c r="CV17" s="9">
        <v>5</v>
      </c>
      <c r="CW17" s="9">
        <v>5</v>
      </c>
      <c r="CX17" s="9">
        <v>4</v>
      </c>
      <c r="CY17" s="9">
        <v>4</v>
      </c>
      <c r="CZ17" s="9">
        <v>8</v>
      </c>
      <c r="DA17" s="9">
        <v>1</v>
      </c>
      <c r="DB17" s="9">
        <v>5</v>
      </c>
      <c r="DC17" s="9">
        <v>3</v>
      </c>
      <c r="DD17" s="9">
        <v>35</v>
      </c>
      <c r="DE17" s="9">
        <v>836764</v>
      </c>
      <c r="DF17" s="9">
        <v>484588</v>
      </c>
      <c r="DG17" s="10">
        <v>0.57912147272110204</v>
      </c>
      <c r="DH17" s="11">
        <v>15.0561987041037</v>
      </c>
      <c r="DI17" s="11">
        <v>42.486710408589303</v>
      </c>
      <c r="DJ17" s="9">
        <v>22268</v>
      </c>
      <c r="DK17" s="9">
        <v>701</v>
      </c>
      <c r="DL17" s="9">
        <v>2619</v>
      </c>
      <c r="DM17" s="10">
        <f t="shared" si="0"/>
        <v>2.6612043539157994E-2</v>
      </c>
    </row>
    <row r="18" spans="2:117" ht="12.75" customHeight="1">
      <c r="B18" s="8" t="s">
        <v>143</v>
      </c>
      <c r="C18" s="8" t="s">
        <v>144</v>
      </c>
      <c r="D18" s="9">
        <v>24470</v>
      </c>
      <c r="E18" s="9">
        <v>24608</v>
      </c>
      <c r="F18" s="9">
        <v>23043</v>
      </c>
      <c r="G18" s="9">
        <v>21299</v>
      </c>
      <c r="H18" s="9">
        <v>11323</v>
      </c>
      <c r="I18" s="9">
        <v>10490</v>
      </c>
      <c r="J18" s="9">
        <v>19142</v>
      </c>
      <c r="K18" s="9">
        <v>18613</v>
      </c>
      <c r="L18" s="9">
        <v>18233</v>
      </c>
      <c r="M18" s="9">
        <v>17672</v>
      </c>
      <c r="N18" s="9">
        <v>17227</v>
      </c>
      <c r="O18" s="9">
        <v>16960</v>
      </c>
      <c r="P18" s="9">
        <v>16181</v>
      </c>
      <c r="Q18" s="9">
        <v>15190</v>
      </c>
      <c r="R18" s="9">
        <v>15519</v>
      </c>
      <c r="S18" s="9">
        <v>15337</v>
      </c>
      <c r="T18" s="9">
        <v>14442</v>
      </c>
      <c r="U18" s="9">
        <v>13779</v>
      </c>
      <c r="V18" s="9">
        <v>12665</v>
      </c>
      <c r="W18" s="9">
        <v>12518</v>
      </c>
      <c r="X18" s="9">
        <v>12001</v>
      </c>
      <c r="Y18" s="9">
        <v>11634</v>
      </c>
      <c r="Z18" s="9">
        <v>8541</v>
      </c>
      <c r="AA18" s="9">
        <v>10326</v>
      </c>
      <c r="AB18" s="9">
        <v>10449</v>
      </c>
      <c r="AC18" s="9">
        <v>10031</v>
      </c>
      <c r="AD18" s="9">
        <v>9558</v>
      </c>
      <c r="AE18" s="9">
        <v>9768</v>
      </c>
      <c r="AF18" s="9">
        <v>9409</v>
      </c>
      <c r="AG18" s="9">
        <v>9492</v>
      </c>
      <c r="AH18" s="9">
        <v>9285</v>
      </c>
      <c r="AI18" s="9">
        <v>9133</v>
      </c>
      <c r="AJ18" s="9">
        <v>9072</v>
      </c>
      <c r="AK18" s="9">
        <v>8915</v>
      </c>
      <c r="AL18" s="9">
        <v>8496</v>
      </c>
      <c r="AM18" s="9">
        <v>6301</v>
      </c>
      <c r="AN18" s="9">
        <v>7891</v>
      </c>
      <c r="AO18" s="9">
        <v>7248</v>
      </c>
      <c r="AP18" s="9">
        <v>5982</v>
      </c>
      <c r="AQ18" s="9">
        <v>6943</v>
      </c>
      <c r="AR18" s="9">
        <v>4998</v>
      </c>
      <c r="AS18" s="9">
        <v>4891</v>
      </c>
      <c r="AT18" s="9">
        <v>5872</v>
      </c>
      <c r="AU18" s="9">
        <v>5221</v>
      </c>
      <c r="AV18" s="9">
        <v>4717</v>
      </c>
      <c r="AW18" s="9">
        <v>4634</v>
      </c>
      <c r="AX18" s="9">
        <v>4399</v>
      </c>
      <c r="AY18" s="9">
        <v>4134</v>
      </c>
      <c r="AZ18" s="9">
        <v>3754</v>
      </c>
      <c r="BA18" s="9">
        <v>3274</v>
      </c>
      <c r="BB18" s="9">
        <v>3457</v>
      </c>
      <c r="BC18" s="9">
        <v>3051</v>
      </c>
      <c r="BD18" s="9">
        <v>2544</v>
      </c>
      <c r="BE18" s="9">
        <v>2349</v>
      </c>
      <c r="BF18" s="9">
        <v>2032</v>
      </c>
      <c r="BG18" s="9">
        <v>1734</v>
      </c>
      <c r="BH18" s="9">
        <v>976</v>
      </c>
      <c r="BI18" s="9">
        <v>564</v>
      </c>
      <c r="BJ18" s="9">
        <v>1143</v>
      </c>
      <c r="BK18" s="9">
        <v>981</v>
      </c>
      <c r="BL18" s="9">
        <v>912</v>
      </c>
      <c r="BM18" s="9">
        <v>706</v>
      </c>
      <c r="BN18" s="9">
        <v>619</v>
      </c>
      <c r="BO18" s="9">
        <v>467</v>
      </c>
      <c r="BP18" s="9">
        <v>389</v>
      </c>
      <c r="BQ18" s="9">
        <v>83</v>
      </c>
      <c r="BR18" s="9">
        <v>88</v>
      </c>
      <c r="BS18" s="9">
        <v>59</v>
      </c>
      <c r="BT18" s="9">
        <v>55</v>
      </c>
      <c r="BU18" s="9">
        <v>58</v>
      </c>
      <c r="BV18" s="9">
        <v>29</v>
      </c>
      <c r="BW18" s="9">
        <v>21</v>
      </c>
      <c r="BX18" s="9">
        <v>15</v>
      </c>
      <c r="BY18" s="9">
        <v>22</v>
      </c>
      <c r="BZ18" s="9">
        <v>15</v>
      </c>
      <c r="CA18" s="9">
        <v>11</v>
      </c>
      <c r="CB18" s="9">
        <v>24</v>
      </c>
      <c r="CC18" s="9">
        <v>15</v>
      </c>
      <c r="CD18" s="9">
        <v>10</v>
      </c>
      <c r="CE18" s="9">
        <v>9</v>
      </c>
      <c r="CF18" s="9">
        <v>5</v>
      </c>
      <c r="CG18" s="9">
        <v>13</v>
      </c>
      <c r="CH18" s="9">
        <v>9</v>
      </c>
      <c r="CI18" s="9">
        <v>8</v>
      </c>
      <c r="CJ18" s="9">
        <v>10</v>
      </c>
      <c r="CK18" s="9">
        <v>5</v>
      </c>
      <c r="CL18" s="9">
        <v>2</v>
      </c>
      <c r="CM18" s="9">
        <v>3</v>
      </c>
      <c r="CN18" s="9">
        <v>8</v>
      </c>
      <c r="CO18" s="9">
        <v>7</v>
      </c>
      <c r="CP18" s="9">
        <v>2</v>
      </c>
      <c r="CQ18" s="9">
        <v>1</v>
      </c>
      <c r="CR18" s="9">
        <v>6</v>
      </c>
      <c r="CS18" s="9">
        <v>4</v>
      </c>
      <c r="CT18" s="9">
        <v>4</v>
      </c>
      <c r="CU18" s="9">
        <v>2</v>
      </c>
      <c r="CV18" s="9">
        <v>1</v>
      </c>
      <c r="CW18" s="9">
        <v>6</v>
      </c>
      <c r="CX18" s="9">
        <v>2</v>
      </c>
      <c r="CY18" s="9">
        <v>1</v>
      </c>
      <c r="CZ18" s="9">
        <v>1</v>
      </c>
      <c r="DA18" s="9">
        <v>3</v>
      </c>
      <c r="DB18" s="9">
        <v>0</v>
      </c>
      <c r="DC18" s="9">
        <v>2</v>
      </c>
      <c r="DD18" s="9">
        <v>50</v>
      </c>
      <c r="DE18" s="9">
        <v>587673</v>
      </c>
      <c r="DF18" s="9">
        <v>313528</v>
      </c>
      <c r="DG18" s="10">
        <v>0.53350757989562203</v>
      </c>
      <c r="DH18" s="11">
        <v>16.590603794488299</v>
      </c>
      <c r="DI18" s="11">
        <v>44.104125503497997</v>
      </c>
      <c r="DJ18" s="9">
        <v>16085</v>
      </c>
      <c r="DK18" s="9">
        <v>174</v>
      </c>
      <c r="DL18" s="9">
        <v>669</v>
      </c>
      <c r="DM18" s="10">
        <f t="shared" si="0"/>
        <v>2.7370663617351826E-2</v>
      </c>
    </row>
    <row r="19" spans="2:117" ht="12.75" customHeight="1">
      <c r="B19" s="8" t="s">
        <v>145</v>
      </c>
      <c r="C19" s="8" t="s">
        <v>146</v>
      </c>
      <c r="D19" s="9">
        <v>36626</v>
      </c>
      <c r="E19" s="9">
        <v>37900</v>
      </c>
      <c r="F19" s="9">
        <v>35608</v>
      </c>
      <c r="G19" s="9">
        <v>30150</v>
      </c>
      <c r="H19" s="9">
        <v>14981</v>
      </c>
      <c r="I19" s="9">
        <v>14152</v>
      </c>
      <c r="J19" s="9">
        <v>25630</v>
      </c>
      <c r="K19" s="9">
        <v>25291</v>
      </c>
      <c r="L19" s="9">
        <v>24416</v>
      </c>
      <c r="M19" s="9">
        <v>23699</v>
      </c>
      <c r="N19" s="9">
        <v>22632</v>
      </c>
      <c r="O19" s="9">
        <v>21441</v>
      </c>
      <c r="P19" s="9">
        <v>20573</v>
      </c>
      <c r="Q19" s="9">
        <v>18164</v>
      </c>
      <c r="R19" s="9">
        <v>17852</v>
      </c>
      <c r="S19" s="9">
        <v>16950</v>
      </c>
      <c r="T19" s="9">
        <v>15340</v>
      </c>
      <c r="U19" s="9">
        <v>14430</v>
      </c>
      <c r="V19" s="9">
        <v>12748</v>
      </c>
      <c r="W19" s="9">
        <v>11544</v>
      </c>
      <c r="X19" s="9">
        <v>11106</v>
      </c>
      <c r="Y19" s="9">
        <v>10009</v>
      </c>
      <c r="Z19" s="9">
        <v>7581</v>
      </c>
      <c r="AA19" s="9">
        <v>8676</v>
      </c>
      <c r="AB19" s="9">
        <v>8403</v>
      </c>
      <c r="AC19" s="9">
        <v>7979</v>
      </c>
      <c r="AD19" s="9">
        <v>7258</v>
      </c>
      <c r="AE19" s="9">
        <v>7188</v>
      </c>
      <c r="AF19" s="9">
        <v>6606</v>
      </c>
      <c r="AG19" s="9">
        <v>6380</v>
      </c>
      <c r="AH19" s="9">
        <v>6241</v>
      </c>
      <c r="AI19" s="9">
        <v>5759</v>
      </c>
      <c r="AJ19" s="9">
        <v>5377</v>
      </c>
      <c r="AK19" s="9">
        <v>5288</v>
      </c>
      <c r="AL19" s="9">
        <v>4719</v>
      </c>
      <c r="AM19" s="9">
        <v>3748</v>
      </c>
      <c r="AN19" s="9">
        <v>4272</v>
      </c>
      <c r="AO19" s="9">
        <v>4123</v>
      </c>
      <c r="AP19" s="9">
        <v>3197</v>
      </c>
      <c r="AQ19" s="9">
        <v>3765</v>
      </c>
      <c r="AR19" s="9">
        <v>2558</v>
      </c>
      <c r="AS19" s="9">
        <v>2506</v>
      </c>
      <c r="AT19" s="9">
        <v>2815</v>
      </c>
      <c r="AU19" s="9">
        <v>2544</v>
      </c>
      <c r="AV19" s="9">
        <v>2241</v>
      </c>
      <c r="AW19" s="9">
        <v>2121</v>
      </c>
      <c r="AX19" s="9">
        <v>1948</v>
      </c>
      <c r="AY19" s="9">
        <v>1784</v>
      </c>
      <c r="AZ19" s="9">
        <v>1502</v>
      </c>
      <c r="BA19" s="9">
        <v>1214</v>
      </c>
      <c r="BB19" s="9">
        <v>1241</v>
      </c>
      <c r="BC19" s="9">
        <v>1164</v>
      </c>
      <c r="BD19" s="9">
        <v>910</v>
      </c>
      <c r="BE19" s="9">
        <v>828</v>
      </c>
      <c r="BF19" s="9">
        <v>722</v>
      </c>
      <c r="BG19" s="9">
        <v>585</v>
      </c>
      <c r="BH19" s="9">
        <v>258</v>
      </c>
      <c r="BI19" s="9">
        <v>169</v>
      </c>
      <c r="BJ19" s="9">
        <v>356</v>
      </c>
      <c r="BK19" s="9">
        <v>336</v>
      </c>
      <c r="BL19" s="9">
        <v>313</v>
      </c>
      <c r="BM19" s="9">
        <v>200</v>
      </c>
      <c r="BN19" s="9">
        <v>168</v>
      </c>
      <c r="BO19" s="9">
        <v>121</v>
      </c>
      <c r="BP19" s="9">
        <v>110</v>
      </c>
      <c r="BQ19" s="9">
        <v>19</v>
      </c>
      <c r="BR19" s="9">
        <v>23</v>
      </c>
      <c r="BS19" s="9">
        <v>15</v>
      </c>
      <c r="BT19" s="9">
        <v>10</v>
      </c>
      <c r="BU19" s="9">
        <v>8</v>
      </c>
      <c r="BV19" s="9">
        <v>9</v>
      </c>
      <c r="BW19" s="9">
        <v>6</v>
      </c>
      <c r="BX19" s="9">
        <v>3</v>
      </c>
      <c r="BY19" s="9">
        <v>4</v>
      </c>
      <c r="BZ19" s="9">
        <v>1</v>
      </c>
      <c r="CA19" s="9">
        <v>2</v>
      </c>
      <c r="CB19" s="9">
        <v>2</v>
      </c>
      <c r="CC19" s="9">
        <v>1</v>
      </c>
      <c r="CD19" s="9">
        <v>2</v>
      </c>
      <c r="CE19" s="9">
        <v>3</v>
      </c>
      <c r="CF19" s="9">
        <v>0</v>
      </c>
      <c r="CG19" s="9">
        <v>0</v>
      </c>
      <c r="CH19" s="9">
        <v>1</v>
      </c>
      <c r="CI19" s="9">
        <v>1</v>
      </c>
      <c r="CJ19" s="9">
        <v>0</v>
      </c>
      <c r="CK19" s="9">
        <v>2</v>
      </c>
      <c r="CL19" s="9">
        <v>0</v>
      </c>
      <c r="CM19" s="9">
        <v>0</v>
      </c>
      <c r="CN19" s="9">
        <v>0</v>
      </c>
      <c r="CO19" s="9">
        <v>1</v>
      </c>
      <c r="CP19" s="9">
        <v>0</v>
      </c>
      <c r="CQ19" s="9">
        <v>0</v>
      </c>
      <c r="CR19" s="9">
        <v>0</v>
      </c>
      <c r="CS19" s="9">
        <v>0</v>
      </c>
      <c r="CT19" s="9">
        <v>0</v>
      </c>
      <c r="CU19" s="9">
        <v>0</v>
      </c>
      <c r="CV19" s="9">
        <v>1</v>
      </c>
      <c r="CW19" s="9">
        <v>0</v>
      </c>
      <c r="CX19" s="9">
        <v>0</v>
      </c>
      <c r="CY19" s="9">
        <v>0</v>
      </c>
      <c r="CZ19" s="9">
        <v>0</v>
      </c>
      <c r="DA19" s="9">
        <v>0</v>
      </c>
      <c r="DB19" s="9">
        <v>0</v>
      </c>
      <c r="DC19" s="9">
        <v>0</v>
      </c>
      <c r="DD19" s="9">
        <v>5</v>
      </c>
      <c r="DE19" s="9">
        <v>596635</v>
      </c>
      <c r="DF19" s="9">
        <v>415835</v>
      </c>
      <c r="DG19" s="10">
        <v>0.69696715747483795</v>
      </c>
      <c r="DH19" s="11">
        <v>11.3373210204748</v>
      </c>
      <c r="DI19" s="11">
        <v>35.0552828175027</v>
      </c>
      <c r="DJ19" s="9">
        <v>5195</v>
      </c>
      <c r="DK19" s="9">
        <v>16</v>
      </c>
      <c r="DL19" s="9">
        <v>119</v>
      </c>
      <c r="DM19" s="10">
        <f t="shared" si="0"/>
        <v>8.7071660227777455E-3</v>
      </c>
    </row>
    <row r="20" spans="2:117" ht="12.75" customHeight="1">
      <c r="B20" s="8" t="s">
        <v>147</v>
      </c>
      <c r="C20" s="8" t="s">
        <v>148</v>
      </c>
      <c r="D20" s="9">
        <v>11940</v>
      </c>
      <c r="E20" s="9">
        <v>12323</v>
      </c>
      <c r="F20" s="9">
        <v>11803</v>
      </c>
      <c r="G20" s="9">
        <v>10314</v>
      </c>
      <c r="H20" s="9">
        <v>5307</v>
      </c>
      <c r="I20" s="9">
        <v>5258</v>
      </c>
      <c r="J20" s="9">
        <v>10541</v>
      </c>
      <c r="K20" s="9">
        <v>10249</v>
      </c>
      <c r="L20" s="9">
        <v>10352</v>
      </c>
      <c r="M20" s="9">
        <v>10153</v>
      </c>
      <c r="N20" s="9">
        <v>9808</v>
      </c>
      <c r="O20" s="9">
        <v>9453</v>
      </c>
      <c r="P20" s="9">
        <v>9186</v>
      </c>
      <c r="Q20" s="9">
        <v>7682</v>
      </c>
      <c r="R20" s="9">
        <v>7965</v>
      </c>
      <c r="S20" s="9">
        <v>8478</v>
      </c>
      <c r="T20" s="9">
        <v>7968</v>
      </c>
      <c r="U20" s="9">
        <v>7818</v>
      </c>
      <c r="V20" s="9">
        <v>6829</v>
      </c>
      <c r="W20" s="9">
        <v>7013</v>
      </c>
      <c r="X20" s="9">
        <v>6735</v>
      </c>
      <c r="Y20" s="9">
        <v>6103</v>
      </c>
      <c r="Z20" s="9">
        <v>4467</v>
      </c>
      <c r="AA20" s="9">
        <v>5576</v>
      </c>
      <c r="AB20" s="9">
        <v>5909</v>
      </c>
      <c r="AC20" s="9">
        <v>5815</v>
      </c>
      <c r="AD20" s="9">
        <v>5476</v>
      </c>
      <c r="AE20" s="9">
        <v>5398</v>
      </c>
      <c r="AF20" s="9">
        <v>5470</v>
      </c>
      <c r="AG20" s="9">
        <v>5309</v>
      </c>
      <c r="AH20" s="9">
        <v>4918</v>
      </c>
      <c r="AI20" s="9">
        <v>4651</v>
      </c>
      <c r="AJ20" s="9">
        <v>4684</v>
      </c>
      <c r="AK20" s="9">
        <v>4518</v>
      </c>
      <c r="AL20" s="9">
        <v>4493</v>
      </c>
      <c r="AM20" s="9">
        <v>3292</v>
      </c>
      <c r="AN20" s="9">
        <v>4240</v>
      </c>
      <c r="AO20" s="9">
        <v>4246</v>
      </c>
      <c r="AP20" s="9">
        <v>3134</v>
      </c>
      <c r="AQ20" s="9">
        <v>3501</v>
      </c>
      <c r="AR20" s="9">
        <v>2585</v>
      </c>
      <c r="AS20" s="9">
        <v>2567</v>
      </c>
      <c r="AT20" s="9">
        <v>3139</v>
      </c>
      <c r="AU20" s="9">
        <v>3015</v>
      </c>
      <c r="AV20" s="9">
        <v>2922</v>
      </c>
      <c r="AW20" s="9">
        <v>2753</v>
      </c>
      <c r="AX20" s="9">
        <v>2639</v>
      </c>
      <c r="AY20" s="9">
        <v>2406</v>
      </c>
      <c r="AZ20" s="9">
        <v>1995</v>
      </c>
      <c r="BA20" s="9">
        <v>1785</v>
      </c>
      <c r="BB20" s="9">
        <v>1876</v>
      </c>
      <c r="BC20" s="9">
        <v>1682</v>
      </c>
      <c r="BD20" s="9">
        <v>1520</v>
      </c>
      <c r="BE20" s="9">
        <v>1382</v>
      </c>
      <c r="BF20" s="9">
        <v>1118</v>
      </c>
      <c r="BG20" s="9">
        <v>957</v>
      </c>
      <c r="BH20" s="9">
        <v>482</v>
      </c>
      <c r="BI20" s="9">
        <v>331</v>
      </c>
      <c r="BJ20" s="9">
        <v>823</v>
      </c>
      <c r="BK20" s="9">
        <v>720</v>
      </c>
      <c r="BL20" s="9">
        <v>613</v>
      </c>
      <c r="BM20" s="9">
        <v>463</v>
      </c>
      <c r="BN20" s="9">
        <v>381</v>
      </c>
      <c r="BO20" s="9">
        <v>336</v>
      </c>
      <c r="BP20" s="9">
        <v>272</v>
      </c>
      <c r="BQ20" s="9">
        <v>70</v>
      </c>
      <c r="BR20" s="9">
        <v>91</v>
      </c>
      <c r="BS20" s="9">
        <v>77</v>
      </c>
      <c r="BT20" s="9">
        <v>67</v>
      </c>
      <c r="BU20" s="9">
        <v>46</v>
      </c>
      <c r="BV20" s="9">
        <v>30</v>
      </c>
      <c r="BW20" s="9">
        <v>22</v>
      </c>
      <c r="BX20" s="9">
        <v>13</v>
      </c>
      <c r="BY20" s="9">
        <v>34</v>
      </c>
      <c r="BZ20" s="9">
        <v>6</v>
      </c>
      <c r="CA20" s="9">
        <v>14</v>
      </c>
      <c r="CB20" s="9">
        <v>8</v>
      </c>
      <c r="CC20" s="9">
        <v>13</v>
      </c>
      <c r="CD20" s="9">
        <v>9</v>
      </c>
      <c r="CE20" s="9">
        <v>12</v>
      </c>
      <c r="CF20" s="9">
        <v>4</v>
      </c>
      <c r="CG20" s="9">
        <v>13</v>
      </c>
      <c r="CH20" s="9">
        <v>6</v>
      </c>
      <c r="CI20" s="9">
        <v>5</v>
      </c>
      <c r="CJ20" s="9">
        <v>2</v>
      </c>
      <c r="CK20" s="9">
        <v>3</v>
      </c>
      <c r="CL20" s="9">
        <v>5</v>
      </c>
      <c r="CM20" s="9">
        <v>3</v>
      </c>
      <c r="CN20" s="9">
        <v>3</v>
      </c>
      <c r="CO20" s="9">
        <v>8</v>
      </c>
      <c r="CP20" s="9">
        <v>2</v>
      </c>
      <c r="CQ20" s="9">
        <v>0</v>
      </c>
      <c r="CR20" s="9">
        <v>1</v>
      </c>
      <c r="CS20" s="9">
        <v>1</v>
      </c>
      <c r="CT20" s="9">
        <v>1</v>
      </c>
      <c r="CU20" s="9">
        <v>1</v>
      </c>
      <c r="CV20" s="9">
        <v>2</v>
      </c>
      <c r="CW20" s="9">
        <v>0</v>
      </c>
      <c r="CX20" s="9">
        <v>1</v>
      </c>
      <c r="CY20" s="9">
        <v>1</v>
      </c>
      <c r="CZ20" s="9">
        <v>0</v>
      </c>
      <c r="DA20" s="9">
        <v>2</v>
      </c>
      <c r="DB20" s="9">
        <v>0</v>
      </c>
      <c r="DC20" s="9">
        <v>1</v>
      </c>
      <c r="DD20" s="9">
        <v>10</v>
      </c>
      <c r="DE20" s="9">
        <v>317724</v>
      </c>
      <c r="DF20" s="9">
        <v>166598</v>
      </c>
      <c r="DG20" s="10">
        <v>0.52434817640467801</v>
      </c>
      <c r="DH20" s="11">
        <v>17.0104886160143</v>
      </c>
      <c r="DI20" s="11">
        <v>44.898384668035597</v>
      </c>
      <c r="DJ20" s="9">
        <v>9985</v>
      </c>
      <c r="DK20" s="9">
        <v>96</v>
      </c>
      <c r="DL20" s="9">
        <v>587</v>
      </c>
      <c r="DM20" s="10">
        <f t="shared" si="0"/>
        <v>3.1426647026979393E-2</v>
      </c>
    </row>
    <row r="21" spans="2:117" ht="12.75" customHeight="1">
      <c r="B21" s="8" t="s">
        <v>149</v>
      </c>
      <c r="C21" s="8" t="s">
        <v>150</v>
      </c>
      <c r="D21" s="9">
        <v>2534</v>
      </c>
      <c r="E21" s="9">
        <v>2743</v>
      </c>
      <c r="F21" s="9">
        <v>2441</v>
      </c>
      <c r="G21" s="9">
        <v>2333</v>
      </c>
      <c r="H21" s="9">
        <v>1267</v>
      </c>
      <c r="I21" s="9">
        <v>1190</v>
      </c>
      <c r="J21" s="9">
        <v>2064</v>
      </c>
      <c r="K21" s="9">
        <v>2042</v>
      </c>
      <c r="L21" s="9">
        <v>1989</v>
      </c>
      <c r="M21" s="9">
        <v>2008</v>
      </c>
      <c r="N21" s="9">
        <v>1970</v>
      </c>
      <c r="O21" s="9">
        <v>1978</v>
      </c>
      <c r="P21" s="9">
        <v>1861</v>
      </c>
      <c r="Q21" s="9">
        <v>1592</v>
      </c>
      <c r="R21" s="9">
        <v>1750</v>
      </c>
      <c r="S21" s="9">
        <v>1612</v>
      </c>
      <c r="T21" s="9">
        <v>1671</v>
      </c>
      <c r="U21" s="9">
        <v>1504</v>
      </c>
      <c r="V21" s="9">
        <v>1429</v>
      </c>
      <c r="W21" s="9">
        <v>1329</v>
      </c>
      <c r="X21" s="9">
        <v>1203</v>
      </c>
      <c r="Y21" s="9">
        <v>1193</v>
      </c>
      <c r="Z21" s="9">
        <v>789</v>
      </c>
      <c r="AA21" s="9">
        <v>1009</v>
      </c>
      <c r="AB21" s="9">
        <v>961</v>
      </c>
      <c r="AC21" s="9">
        <v>908</v>
      </c>
      <c r="AD21" s="9">
        <v>905</v>
      </c>
      <c r="AE21" s="9">
        <v>877</v>
      </c>
      <c r="AF21" s="9">
        <v>861</v>
      </c>
      <c r="AG21" s="9">
        <v>800</v>
      </c>
      <c r="AH21" s="9">
        <v>754</v>
      </c>
      <c r="AI21" s="9">
        <v>717</v>
      </c>
      <c r="AJ21" s="9">
        <v>663</v>
      </c>
      <c r="AK21" s="9">
        <v>670</v>
      </c>
      <c r="AL21" s="9">
        <v>572</v>
      </c>
      <c r="AM21" s="9">
        <v>491</v>
      </c>
      <c r="AN21" s="9">
        <v>649</v>
      </c>
      <c r="AO21" s="9">
        <v>588</v>
      </c>
      <c r="AP21" s="9">
        <v>435</v>
      </c>
      <c r="AQ21" s="9">
        <v>526</v>
      </c>
      <c r="AR21" s="9">
        <v>333</v>
      </c>
      <c r="AS21" s="9">
        <v>360</v>
      </c>
      <c r="AT21" s="9">
        <v>341</v>
      </c>
      <c r="AU21" s="9">
        <v>310</v>
      </c>
      <c r="AV21" s="9">
        <v>309</v>
      </c>
      <c r="AW21" s="9">
        <v>336</v>
      </c>
      <c r="AX21" s="9">
        <v>300</v>
      </c>
      <c r="AY21" s="9">
        <v>263</v>
      </c>
      <c r="AZ21" s="9">
        <v>233</v>
      </c>
      <c r="BA21" s="9">
        <v>202</v>
      </c>
      <c r="BB21" s="9">
        <v>198</v>
      </c>
      <c r="BC21" s="9">
        <v>179</v>
      </c>
      <c r="BD21" s="9">
        <v>157</v>
      </c>
      <c r="BE21" s="9">
        <v>120</v>
      </c>
      <c r="BF21" s="9">
        <v>129</v>
      </c>
      <c r="BG21" s="9">
        <v>117</v>
      </c>
      <c r="BH21" s="9">
        <v>63</v>
      </c>
      <c r="BI21" s="9">
        <v>44</v>
      </c>
      <c r="BJ21" s="9">
        <v>79</v>
      </c>
      <c r="BK21" s="9">
        <v>78</v>
      </c>
      <c r="BL21" s="9">
        <v>78</v>
      </c>
      <c r="BM21" s="9">
        <v>40</v>
      </c>
      <c r="BN21" s="9">
        <v>46</v>
      </c>
      <c r="BO21" s="9">
        <v>32</v>
      </c>
      <c r="BP21" s="9">
        <v>29</v>
      </c>
      <c r="BQ21" s="9">
        <v>7</v>
      </c>
      <c r="BR21" s="9">
        <v>5</v>
      </c>
      <c r="BS21" s="9">
        <v>4</v>
      </c>
      <c r="BT21" s="9">
        <v>2</v>
      </c>
      <c r="BU21" s="9">
        <v>5</v>
      </c>
      <c r="BV21" s="9">
        <v>2</v>
      </c>
      <c r="BW21" s="9">
        <v>5</v>
      </c>
      <c r="BX21" s="9">
        <v>0</v>
      </c>
      <c r="BY21" s="9">
        <v>0</v>
      </c>
      <c r="BZ21" s="9">
        <v>0</v>
      </c>
      <c r="CA21" s="9">
        <v>0</v>
      </c>
      <c r="CB21" s="9">
        <v>1</v>
      </c>
      <c r="CC21" s="9">
        <v>0</v>
      </c>
      <c r="CD21" s="9">
        <v>0</v>
      </c>
      <c r="CE21" s="9">
        <v>0</v>
      </c>
      <c r="CF21" s="9">
        <v>0</v>
      </c>
      <c r="CG21" s="9">
        <v>2</v>
      </c>
      <c r="CH21" s="9">
        <v>0</v>
      </c>
      <c r="CI21" s="9">
        <v>1</v>
      </c>
      <c r="CJ21" s="9">
        <v>0</v>
      </c>
      <c r="CK21" s="9">
        <v>1</v>
      </c>
      <c r="CL21" s="9">
        <v>0</v>
      </c>
      <c r="CM21" s="9">
        <v>0</v>
      </c>
      <c r="CN21" s="9">
        <v>0</v>
      </c>
      <c r="CO21" s="9">
        <v>0</v>
      </c>
      <c r="CP21" s="9">
        <v>0</v>
      </c>
      <c r="CQ21" s="9">
        <v>0</v>
      </c>
      <c r="CR21" s="9">
        <v>0</v>
      </c>
      <c r="CS21" s="9">
        <v>0</v>
      </c>
      <c r="CT21" s="9">
        <v>0</v>
      </c>
      <c r="CU21" s="9">
        <v>0</v>
      </c>
      <c r="CV21" s="9">
        <v>0</v>
      </c>
      <c r="CW21" s="9">
        <v>0</v>
      </c>
      <c r="CX21" s="9">
        <v>0</v>
      </c>
      <c r="CY21" s="9">
        <v>0</v>
      </c>
      <c r="CZ21" s="9">
        <v>0</v>
      </c>
      <c r="DA21" s="9">
        <v>0</v>
      </c>
      <c r="DB21" s="9">
        <v>0</v>
      </c>
      <c r="DC21" s="9">
        <v>0</v>
      </c>
      <c r="DD21" s="9">
        <v>0</v>
      </c>
      <c r="DE21" s="9">
        <v>57289</v>
      </c>
      <c r="DF21" s="9">
        <v>34549</v>
      </c>
      <c r="DG21" s="10">
        <v>0.60306516085112305</v>
      </c>
      <c r="DH21" s="11">
        <v>14.361428571428601</v>
      </c>
      <c r="DI21" s="11">
        <v>39.6727756653993</v>
      </c>
      <c r="DJ21" s="9">
        <v>1047</v>
      </c>
      <c r="DK21" s="9">
        <v>4</v>
      </c>
      <c r="DL21" s="9">
        <v>35</v>
      </c>
      <c r="DM21" s="10">
        <f t="shared" si="0"/>
        <v>1.827575974445356E-2</v>
      </c>
    </row>
    <row r="22" spans="2:117" ht="12.75" customHeight="1">
      <c r="B22" s="8" t="s">
        <v>151</v>
      </c>
      <c r="C22" s="8" t="s">
        <v>152</v>
      </c>
      <c r="D22" s="9">
        <v>4684</v>
      </c>
      <c r="E22" s="9">
        <v>4592</v>
      </c>
      <c r="F22" s="9">
        <v>4514</v>
      </c>
      <c r="G22" s="9">
        <v>3973</v>
      </c>
      <c r="H22" s="9">
        <v>1910</v>
      </c>
      <c r="I22" s="9">
        <v>1720</v>
      </c>
      <c r="J22" s="9">
        <v>3392</v>
      </c>
      <c r="K22" s="9">
        <v>3148</v>
      </c>
      <c r="L22" s="9">
        <v>3192</v>
      </c>
      <c r="M22" s="9">
        <v>3223</v>
      </c>
      <c r="N22" s="9">
        <v>3144</v>
      </c>
      <c r="O22" s="9">
        <v>2966</v>
      </c>
      <c r="P22" s="9">
        <v>2824</v>
      </c>
      <c r="Q22" s="9">
        <v>2408</v>
      </c>
      <c r="R22" s="9">
        <v>2629</v>
      </c>
      <c r="S22" s="9">
        <v>2646</v>
      </c>
      <c r="T22" s="9">
        <v>2563</v>
      </c>
      <c r="U22" s="9">
        <v>2413</v>
      </c>
      <c r="V22" s="9">
        <v>2312</v>
      </c>
      <c r="W22" s="9">
        <v>2161</v>
      </c>
      <c r="X22" s="9">
        <v>2185</v>
      </c>
      <c r="Y22" s="9">
        <v>2139</v>
      </c>
      <c r="Z22" s="9">
        <v>1440</v>
      </c>
      <c r="AA22" s="9">
        <v>1780</v>
      </c>
      <c r="AB22" s="9">
        <v>1854</v>
      </c>
      <c r="AC22" s="9">
        <v>1774</v>
      </c>
      <c r="AD22" s="9">
        <v>1677</v>
      </c>
      <c r="AE22" s="9">
        <v>1625</v>
      </c>
      <c r="AF22" s="9">
        <v>1643</v>
      </c>
      <c r="AG22" s="9">
        <v>1575</v>
      </c>
      <c r="AH22" s="9">
        <v>1527</v>
      </c>
      <c r="AI22" s="9">
        <v>1403</v>
      </c>
      <c r="AJ22" s="9">
        <v>1496</v>
      </c>
      <c r="AK22" s="9">
        <v>1428</v>
      </c>
      <c r="AL22" s="9">
        <v>1362</v>
      </c>
      <c r="AM22" s="9">
        <v>1003</v>
      </c>
      <c r="AN22" s="9">
        <v>1284</v>
      </c>
      <c r="AO22" s="9">
        <v>1234</v>
      </c>
      <c r="AP22" s="9">
        <v>935</v>
      </c>
      <c r="AQ22" s="9">
        <v>1115</v>
      </c>
      <c r="AR22" s="9">
        <v>745</v>
      </c>
      <c r="AS22" s="9">
        <v>825</v>
      </c>
      <c r="AT22" s="9">
        <v>937</v>
      </c>
      <c r="AU22" s="9">
        <v>856</v>
      </c>
      <c r="AV22" s="9">
        <v>824</v>
      </c>
      <c r="AW22" s="9">
        <v>783</v>
      </c>
      <c r="AX22" s="9">
        <v>744</v>
      </c>
      <c r="AY22" s="9">
        <v>795</v>
      </c>
      <c r="AZ22" s="9">
        <v>618</v>
      </c>
      <c r="BA22" s="9">
        <v>578</v>
      </c>
      <c r="BB22" s="9">
        <v>552</v>
      </c>
      <c r="BC22" s="9">
        <v>519</v>
      </c>
      <c r="BD22" s="9">
        <v>485</v>
      </c>
      <c r="BE22" s="9">
        <v>417</v>
      </c>
      <c r="BF22" s="9">
        <v>390</v>
      </c>
      <c r="BG22" s="9">
        <v>328</v>
      </c>
      <c r="BH22" s="9">
        <v>226</v>
      </c>
      <c r="BI22" s="9">
        <v>135</v>
      </c>
      <c r="BJ22" s="9">
        <v>219</v>
      </c>
      <c r="BK22" s="9">
        <v>196</v>
      </c>
      <c r="BL22" s="9">
        <v>194</v>
      </c>
      <c r="BM22" s="9">
        <v>168</v>
      </c>
      <c r="BN22" s="9">
        <v>139</v>
      </c>
      <c r="BO22" s="9">
        <v>116</v>
      </c>
      <c r="BP22" s="9">
        <v>88</v>
      </c>
      <c r="BQ22" s="9">
        <v>27</v>
      </c>
      <c r="BR22" s="9">
        <v>35</v>
      </c>
      <c r="BS22" s="9">
        <v>36</v>
      </c>
      <c r="BT22" s="9">
        <v>32</v>
      </c>
      <c r="BU22" s="9">
        <v>30</v>
      </c>
      <c r="BV22" s="9">
        <v>18</v>
      </c>
      <c r="BW22" s="9">
        <v>17</v>
      </c>
      <c r="BX22" s="9">
        <v>11</v>
      </c>
      <c r="BY22" s="9">
        <v>8</v>
      </c>
      <c r="BZ22" s="9">
        <v>7</v>
      </c>
      <c r="CA22" s="9">
        <v>13</v>
      </c>
      <c r="CB22" s="9">
        <v>8</v>
      </c>
      <c r="CC22" s="9">
        <v>3</v>
      </c>
      <c r="CD22" s="9">
        <v>5</v>
      </c>
      <c r="CE22" s="9">
        <v>4</v>
      </c>
      <c r="CF22" s="9">
        <v>3</v>
      </c>
      <c r="CG22" s="9">
        <v>3</v>
      </c>
      <c r="CH22" s="9">
        <v>2</v>
      </c>
      <c r="CI22" s="9">
        <v>6</v>
      </c>
      <c r="CJ22" s="9">
        <v>2</v>
      </c>
      <c r="CK22" s="9">
        <v>3</v>
      </c>
      <c r="CL22" s="9">
        <v>1</v>
      </c>
      <c r="CM22" s="9">
        <v>0</v>
      </c>
      <c r="CN22" s="9">
        <v>1</v>
      </c>
      <c r="CO22" s="9">
        <v>1</v>
      </c>
      <c r="CP22" s="9">
        <v>0</v>
      </c>
      <c r="CQ22" s="9">
        <v>1</v>
      </c>
      <c r="CR22" s="9">
        <v>0</v>
      </c>
      <c r="CS22" s="9">
        <v>2</v>
      </c>
      <c r="CT22" s="9">
        <v>0</v>
      </c>
      <c r="CU22" s="9">
        <v>1</v>
      </c>
      <c r="CV22" s="9">
        <v>0</v>
      </c>
      <c r="CW22" s="9">
        <v>2</v>
      </c>
      <c r="CX22" s="9">
        <v>1</v>
      </c>
      <c r="CY22" s="9">
        <v>1</v>
      </c>
      <c r="CZ22" s="9">
        <v>0</v>
      </c>
      <c r="DA22" s="9">
        <v>0</v>
      </c>
      <c r="DB22" s="9">
        <v>1</v>
      </c>
      <c r="DC22" s="9">
        <v>0</v>
      </c>
      <c r="DD22" s="9">
        <v>13</v>
      </c>
      <c r="DE22" s="9">
        <v>103068</v>
      </c>
      <c r="DF22" s="9">
        <v>55941</v>
      </c>
      <c r="DG22" s="10">
        <v>0.54275817906624801</v>
      </c>
      <c r="DH22" s="11">
        <v>16.2220054623488</v>
      </c>
      <c r="DI22" s="11">
        <v>44.687572815533997</v>
      </c>
      <c r="DJ22" s="9">
        <v>3399</v>
      </c>
      <c r="DK22" s="9">
        <v>53</v>
      </c>
      <c r="DL22" s="9">
        <v>298</v>
      </c>
      <c r="DM22" s="10">
        <f t="shared" si="0"/>
        <v>3.2978227966003026E-2</v>
      </c>
    </row>
    <row r="23" spans="2:117" ht="12.75" customHeight="1">
      <c r="B23" s="8" t="s">
        <v>153</v>
      </c>
      <c r="C23" s="8" t="s">
        <v>154</v>
      </c>
      <c r="D23" s="9">
        <v>503</v>
      </c>
      <c r="E23" s="9">
        <v>514</v>
      </c>
      <c r="F23" s="9">
        <v>500</v>
      </c>
      <c r="G23" s="9">
        <v>489</v>
      </c>
      <c r="H23" s="9">
        <v>293</v>
      </c>
      <c r="I23" s="9">
        <v>280</v>
      </c>
      <c r="J23" s="9">
        <v>440</v>
      </c>
      <c r="K23" s="9">
        <v>397</v>
      </c>
      <c r="L23" s="9">
        <v>410</v>
      </c>
      <c r="M23" s="9">
        <v>388</v>
      </c>
      <c r="N23" s="9">
        <v>336</v>
      </c>
      <c r="O23" s="9">
        <v>342</v>
      </c>
      <c r="P23" s="9">
        <v>292</v>
      </c>
      <c r="Q23" s="9">
        <v>289</v>
      </c>
      <c r="R23" s="9">
        <v>273</v>
      </c>
      <c r="S23" s="9">
        <v>272</v>
      </c>
      <c r="T23" s="9">
        <v>245</v>
      </c>
      <c r="U23" s="9">
        <v>194</v>
      </c>
      <c r="V23" s="9">
        <v>175</v>
      </c>
      <c r="W23" s="9">
        <v>181</v>
      </c>
      <c r="X23" s="9">
        <v>131</v>
      </c>
      <c r="Y23" s="9">
        <v>138</v>
      </c>
      <c r="Z23" s="9">
        <v>100</v>
      </c>
      <c r="AA23" s="9">
        <v>153</v>
      </c>
      <c r="AB23" s="9">
        <v>100</v>
      </c>
      <c r="AC23" s="9">
        <v>122</v>
      </c>
      <c r="AD23" s="9">
        <v>89</v>
      </c>
      <c r="AE23" s="9">
        <v>86</v>
      </c>
      <c r="AF23" s="9">
        <v>78</v>
      </c>
      <c r="AG23" s="9">
        <v>86</v>
      </c>
      <c r="AH23" s="9">
        <v>84</v>
      </c>
      <c r="AI23" s="9">
        <v>82</v>
      </c>
      <c r="AJ23" s="9">
        <v>83</v>
      </c>
      <c r="AK23" s="9">
        <v>89</v>
      </c>
      <c r="AL23" s="9">
        <v>66</v>
      </c>
      <c r="AM23" s="9">
        <v>67</v>
      </c>
      <c r="AN23" s="9">
        <v>58</v>
      </c>
      <c r="AO23" s="9">
        <v>50</v>
      </c>
      <c r="AP23" s="9">
        <v>48</v>
      </c>
      <c r="AQ23" s="9">
        <v>44</v>
      </c>
      <c r="AR23" s="9">
        <v>49</v>
      </c>
      <c r="AS23" s="9">
        <v>37</v>
      </c>
      <c r="AT23" s="9">
        <v>33</v>
      </c>
      <c r="AU23" s="9">
        <v>34</v>
      </c>
      <c r="AV23" s="9">
        <v>26</v>
      </c>
      <c r="AW23" s="9">
        <v>29</v>
      </c>
      <c r="AX23" s="9">
        <v>19</v>
      </c>
      <c r="AY23" s="9">
        <v>29</v>
      </c>
      <c r="AZ23" s="9">
        <v>27</v>
      </c>
      <c r="BA23" s="9">
        <v>22</v>
      </c>
      <c r="BB23" s="9">
        <v>17</v>
      </c>
      <c r="BC23" s="9">
        <v>22</v>
      </c>
      <c r="BD23" s="9">
        <v>16</v>
      </c>
      <c r="BE23" s="9">
        <v>19</v>
      </c>
      <c r="BF23" s="9">
        <v>15</v>
      </c>
      <c r="BG23" s="9">
        <v>7</v>
      </c>
      <c r="BH23" s="9">
        <v>12</v>
      </c>
      <c r="BI23" s="9">
        <v>0</v>
      </c>
      <c r="BJ23" s="9">
        <v>13</v>
      </c>
      <c r="BK23" s="9">
        <v>6</v>
      </c>
      <c r="BL23" s="9">
        <v>10</v>
      </c>
      <c r="BM23" s="9">
        <v>5</v>
      </c>
      <c r="BN23" s="9">
        <v>11</v>
      </c>
      <c r="BO23" s="9">
        <v>6</v>
      </c>
      <c r="BP23" s="9">
        <v>3</v>
      </c>
      <c r="BQ23" s="9">
        <v>0</v>
      </c>
      <c r="BR23" s="9">
        <v>0</v>
      </c>
      <c r="BS23" s="9">
        <v>0</v>
      </c>
      <c r="BT23" s="9">
        <v>1</v>
      </c>
      <c r="BU23" s="9">
        <v>1</v>
      </c>
      <c r="BV23" s="9">
        <v>2</v>
      </c>
      <c r="BW23" s="9">
        <v>0</v>
      </c>
      <c r="BX23" s="9">
        <v>1</v>
      </c>
      <c r="BY23" s="9">
        <v>1</v>
      </c>
      <c r="BZ23" s="9">
        <v>0</v>
      </c>
      <c r="CA23" s="9">
        <v>1</v>
      </c>
      <c r="CB23" s="9">
        <v>0</v>
      </c>
      <c r="CC23" s="9">
        <v>0</v>
      </c>
      <c r="CD23" s="9">
        <v>0</v>
      </c>
      <c r="CE23" s="9">
        <v>0</v>
      </c>
      <c r="CF23" s="9">
        <v>0</v>
      </c>
      <c r="CG23" s="9">
        <v>0</v>
      </c>
      <c r="CH23" s="9">
        <v>0</v>
      </c>
      <c r="CI23" s="9">
        <v>0</v>
      </c>
      <c r="CJ23" s="9">
        <v>0</v>
      </c>
      <c r="CK23" s="9">
        <v>0</v>
      </c>
      <c r="CL23" s="9">
        <v>0</v>
      </c>
      <c r="CM23" s="9">
        <v>0</v>
      </c>
      <c r="CN23" s="9">
        <v>0</v>
      </c>
      <c r="CO23" s="9">
        <v>0</v>
      </c>
      <c r="CP23" s="9">
        <v>0</v>
      </c>
      <c r="CQ23" s="9">
        <v>0</v>
      </c>
      <c r="CR23" s="9">
        <v>0</v>
      </c>
      <c r="CS23" s="9">
        <v>0</v>
      </c>
      <c r="CT23" s="9">
        <v>0</v>
      </c>
      <c r="CU23" s="9">
        <v>0</v>
      </c>
      <c r="CV23" s="9">
        <v>0</v>
      </c>
      <c r="CW23" s="9">
        <v>0</v>
      </c>
      <c r="CX23" s="9">
        <v>0</v>
      </c>
      <c r="CY23" s="9">
        <v>0</v>
      </c>
      <c r="CZ23" s="9">
        <v>0</v>
      </c>
      <c r="DA23" s="9">
        <v>0</v>
      </c>
      <c r="DB23" s="9">
        <v>0</v>
      </c>
      <c r="DC23" s="9">
        <v>0</v>
      </c>
      <c r="DD23" s="9">
        <v>0</v>
      </c>
      <c r="DE23" s="9">
        <v>9041</v>
      </c>
      <c r="DF23" s="9">
        <v>6457</v>
      </c>
      <c r="DG23" s="10">
        <v>0.71419090808538899</v>
      </c>
      <c r="DH23" s="11">
        <v>10.912202380952399</v>
      </c>
      <c r="DI23" s="11">
        <v>35.264477611940301</v>
      </c>
      <c r="DJ23" s="9">
        <v>130</v>
      </c>
      <c r="DK23" s="9">
        <v>0</v>
      </c>
      <c r="DL23" s="9">
        <v>7</v>
      </c>
      <c r="DM23" s="10">
        <f t="shared" si="0"/>
        <v>1.4378940382701029E-2</v>
      </c>
    </row>
    <row r="24" spans="2:117" ht="12.75" customHeight="1">
      <c r="B24" s="8" t="s">
        <v>155</v>
      </c>
      <c r="C24" s="8" t="s">
        <v>156</v>
      </c>
      <c r="D24" s="9">
        <v>2366</v>
      </c>
      <c r="E24" s="9">
        <v>2072</v>
      </c>
      <c r="F24" s="9">
        <v>1824</v>
      </c>
      <c r="G24" s="9">
        <v>1539</v>
      </c>
      <c r="H24" s="9">
        <v>937</v>
      </c>
      <c r="I24" s="9">
        <v>874</v>
      </c>
      <c r="J24" s="9">
        <v>1561</v>
      </c>
      <c r="K24" s="9">
        <v>1358</v>
      </c>
      <c r="L24" s="9">
        <v>1380</v>
      </c>
      <c r="M24" s="9">
        <v>1297</v>
      </c>
      <c r="N24" s="9">
        <v>1089</v>
      </c>
      <c r="O24" s="9">
        <v>1227</v>
      </c>
      <c r="P24" s="9">
        <v>1056</v>
      </c>
      <c r="Q24" s="9">
        <v>998</v>
      </c>
      <c r="R24" s="9">
        <v>991</v>
      </c>
      <c r="S24" s="9">
        <v>849</v>
      </c>
      <c r="T24" s="9">
        <v>858</v>
      </c>
      <c r="U24" s="9">
        <v>919</v>
      </c>
      <c r="V24" s="9">
        <v>756</v>
      </c>
      <c r="W24" s="9">
        <v>688</v>
      </c>
      <c r="X24" s="9">
        <v>672</v>
      </c>
      <c r="Y24" s="9">
        <v>633</v>
      </c>
      <c r="Z24" s="9">
        <v>457</v>
      </c>
      <c r="AA24" s="9">
        <v>512</v>
      </c>
      <c r="AB24" s="9">
        <v>507</v>
      </c>
      <c r="AC24" s="9">
        <v>467</v>
      </c>
      <c r="AD24" s="9">
        <v>495</v>
      </c>
      <c r="AE24" s="9">
        <v>482</v>
      </c>
      <c r="AF24" s="9">
        <v>486</v>
      </c>
      <c r="AG24" s="9">
        <v>432</v>
      </c>
      <c r="AH24" s="9">
        <v>411</v>
      </c>
      <c r="AI24" s="9">
        <v>452</v>
      </c>
      <c r="AJ24" s="9">
        <v>398</v>
      </c>
      <c r="AK24" s="9">
        <v>335</v>
      </c>
      <c r="AL24" s="9">
        <v>340</v>
      </c>
      <c r="AM24" s="9">
        <v>225</v>
      </c>
      <c r="AN24" s="9">
        <v>255</v>
      </c>
      <c r="AO24" s="9">
        <v>246</v>
      </c>
      <c r="AP24" s="9">
        <v>185</v>
      </c>
      <c r="AQ24" s="9">
        <v>239</v>
      </c>
      <c r="AR24" s="9">
        <v>188</v>
      </c>
      <c r="AS24" s="9">
        <v>146</v>
      </c>
      <c r="AT24" s="9">
        <v>178</v>
      </c>
      <c r="AU24" s="9">
        <v>188</v>
      </c>
      <c r="AV24" s="9">
        <v>159</v>
      </c>
      <c r="AW24" s="9">
        <v>148</v>
      </c>
      <c r="AX24" s="9">
        <v>139</v>
      </c>
      <c r="AY24" s="9">
        <v>153</v>
      </c>
      <c r="AZ24" s="9">
        <v>108</v>
      </c>
      <c r="BA24" s="9">
        <v>91</v>
      </c>
      <c r="BB24" s="9">
        <v>86</v>
      </c>
      <c r="BC24" s="9">
        <v>68</v>
      </c>
      <c r="BD24" s="9">
        <v>63</v>
      </c>
      <c r="BE24" s="9">
        <v>47</v>
      </c>
      <c r="BF24" s="9">
        <v>40</v>
      </c>
      <c r="BG24" s="9">
        <v>39</v>
      </c>
      <c r="BH24" s="9">
        <v>22</v>
      </c>
      <c r="BI24" s="9">
        <v>10</v>
      </c>
      <c r="BJ24" s="9">
        <v>24</v>
      </c>
      <c r="BK24" s="9">
        <v>15</v>
      </c>
      <c r="BL24" s="9">
        <v>11</v>
      </c>
      <c r="BM24" s="9">
        <v>7</v>
      </c>
      <c r="BN24" s="9">
        <v>6</v>
      </c>
      <c r="BO24" s="9">
        <v>3</v>
      </c>
      <c r="BP24" s="9">
        <v>2</v>
      </c>
      <c r="BQ24" s="9">
        <v>4</v>
      </c>
      <c r="BR24" s="9">
        <v>3</v>
      </c>
      <c r="BS24" s="9">
        <v>0</v>
      </c>
      <c r="BT24" s="9">
        <v>0</v>
      </c>
      <c r="BU24" s="9">
        <v>0</v>
      </c>
      <c r="BV24" s="9">
        <v>1</v>
      </c>
      <c r="BW24" s="9">
        <v>0</v>
      </c>
      <c r="BX24" s="9">
        <v>0</v>
      </c>
      <c r="BY24" s="9">
        <v>1</v>
      </c>
      <c r="BZ24" s="9">
        <v>0</v>
      </c>
      <c r="CA24" s="9">
        <v>0</v>
      </c>
      <c r="CB24" s="9">
        <v>0</v>
      </c>
      <c r="CC24" s="9">
        <v>0</v>
      </c>
      <c r="CD24" s="9">
        <v>0</v>
      </c>
      <c r="CE24" s="9">
        <v>0</v>
      </c>
      <c r="CF24" s="9">
        <v>0</v>
      </c>
      <c r="CG24" s="9">
        <v>0</v>
      </c>
      <c r="CH24" s="9">
        <v>0</v>
      </c>
      <c r="CI24" s="9">
        <v>0</v>
      </c>
      <c r="CJ24" s="9">
        <v>0</v>
      </c>
      <c r="CK24" s="9">
        <v>0</v>
      </c>
      <c r="CL24" s="9">
        <v>0</v>
      </c>
      <c r="CM24" s="9">
        <v>0</v>
      </c>
      <c r="CN24" s="9">
        <v>0</v>
      </c>
      <c r="CO24" s="9">
        <v>0</v>
      </c>
      <c r="CP24" s="9">
        <v>0</v>
      </c>
      <c r="CQ24" s="9">
        <v>0</v>
      </c>
      <c r="CR24" s="9">
        <v>0</v>
      </c>
      <c r="CS24" s="9">
        <v>0</v>
      </c>
      <c r="CT24" s="9">
        <v>0</v>
      </c>
      <c r="CU24" s="9">
        <v>0</v>
      </c>
      <c r="CV24" s="9">
        <v>0</v>
      </c>
      <c r="CW24" s="9">
        <v>0</v>
      </c>
      <c r="CX24" s="9">
        <v>0</v>
      </c>
      <c r="CY24" s="9">
        <v>0</v>
      </c>
      <c r="CZ24" s="9">
        <v>0</v>
      </c>
      <c r="DA24" s="9">
        <v>0</v>
      </c>
      <c r="DB24" s="9">
        <v>0</v>
      </c>
      <c r="DC24" s="9">
        <v>0</v>
      </c>
      <c r="DD24" s="9">
        <v>0</v>
      </c>
      <c r="DE24" s="9">
        <v>34818</v>
      </c>
      <c r="DF24" s="9">
        <v>23195</v>
      </c>
      <c r="DG24" s="10">
        <v>0.66617841346429996</v>
      </c>
      <c r="DH24" s="11">
        <v>11.906275468622701</v>
      </c>
      <c r="DI24" s="11">
        <v>36.3512156862745</v>
      </c>
      <c r="DJ24" s="9">
        <v>298</v>
      </c>
      <c r="DK24" s="9">
        <v>0</v>
      </c>
      <c r="DL24" s="9">
        <v>9</v>
      </c>
      <c r="DM24" s="10">
        <f t="shared" si="0"/>
        <v>8.558791429720259E-3</v>
      </c>
    </row>
    <row r="25" spans="2:117" ht="12.75" customHeight="1">
      <c r="B25" s="8" t="s">
        <v>157</v>
      </c>
      <c r="C25" s="8" t="s">
        <v>158</v>
      </c>
      <c r="D25" s="9">
        <v>22053</v>
      </c>
      <c r="E25" s="9">
        <v>21775</v>
      </c>
      <c r="F25" s="9">
        <v>19948</v>
      </c>
      <c r="G25" s="9">
        <v>17655</v>
      </c>
      <c r="H25" s="9">
        <v>10098</v>
      </c>
      <c r="I25" s="9">
        <v>9337</v>
      </c>
      <c r="J25" s="9">
        <v>15317</v>
      </c>
      <c r="K25" s="9">
        <v>14434</v>
      </c>
      <c r="L25" s="9">
        <v>14072</v>
      </c>
      <c r="M25" s="9">
        <v>13513</v>
      </c>
      <c r="N25" s="9">
        <v>12829</v>
      </c>
      <c r="O25" s="9">
        <v>12663</v>
      </c>
      <c r="P25" s="9">
        <v>12279</v>
      </c>
      <c r="Q25" s="9">
        <v>10973</v>
      </c>
      <c r="R25" s="9">
        <v>10942</v>
      </c>
      <c r="S25" s="9">
        <v>10643</v>
      </c>
      <c r="T25" s="9">
        <v>10222</v>
      </c>
      <c r="U25" s="9">
        <v>9601</v>
      </c>
      <c r="V25" s="9">
        <v>8111</v>
      </c>
      <c r="W25" s="9">
        <v>7618</v>
      </c>
      <c r="X25" s="9">
        <v>7205</v>
      </c>
      <c r="Y25" s="9">
        <v>6718</v>
      </c>
      <c r="Z25" s="9">
        <v>5220</v>
      </c>
      <c r="AA25" s="9">
        <v>6158</v>
      </c>
      <c r="AB25" s="9">
        <v>6003</v>
      </c>
      <c r="AC25" s="9">
        <v>5739</v>
      </c>
      <c r="AD25" s="9">
        <v>5386</v>
      </c>
      <c r="AE25" s="9">
        <v>5204</v>
      </c>
      <c r="AF25" s="9">
        <v>5194</v>
      </c>
      <c r="AG25" s="9">
        <v>5087</v>
      </c>
      <c r="AH25" s="9">
        <v>4648</v>
      </c>
      <c r="AI25" s="9">
        <v>4464</v>
      </c>
      <c r="AJ25" s="9">
        <v>4248</v>
      </c>
      <c r="AK25" s="9">
        <v>4065</v>
      </c>
      <c r="AL25" s="9">
        <v>3840</v>
      </c>
      <c r="AM25" s="9">
        <v>2850</v>
      </c>
      <c r="AN25" s="9">
        <v>3448</v>
      </c>
      <c r="AO25" s="9">
        <v>3168</v>
      </c>
      <c r="AP25" s="9">
        <v>2407</v>
      </c>
      <c r="AQ25" s="9">
        <v>2832</v>
      </c>
      <c r="AR25" s="9">
        <v>2102</v>
      </c>
      <c r="AS25" s="9">
        <v>2043</v>
      </c>
      <c r="AT25" s="9">
        <v>2459</v>
      </c>
      <c r="AU25" s="9">
        <v>2274</v>
      </c>
      <c r="AV25" s="9">
        <v>1995</v>
      </c>
      <c r="AW25" s="9">
        <v>1797</v>
      </c>
      <c r="AX25" s="9">
        <v>1711</v>
      </c>
      <c r="AY25" s="9">
        <v>1492</v>
      </c>
      <c r="AZ25" s="9">
        <v>1289</v>
      </c>
      <c r="BA25" s="9">
        <v>1152</v>
      </c>
      <c r="BB25" s="9">
        <v>1081</v>
      </c>
      <c r="BC25" s="9">
        <v>902</v>
      </c>
      <c r="BD25" s="9">
        <v>799</v>
      </c>
      <c r="BE25" s="9">
        <v>664</v>
      </c>
      <c r="BF25" s="9">
        <v>557</v>
      </c>
      <c r="BG25" s="9">
        <v>499</v>
      </c>
      <c r="BH25" s="9">
        <v>301</v>
      </c>
      <c r="BI25" s="9">
        <v>184</v>
      </c>
      <c r="BJ25" s="9">
        <v>415</v>
      </c>
      <c r="BK25" s="9">
        <v>307</v>
      </c>
      <c r="BL25" s="9">
        <v>252</v>
      </c>
      <c r="BM25" s="9">
        <v>168</v>
      </c>
      <c r="BN25" s="9">
        <v>133</v>
      </c>
      <c r="BO25" s="9">
        <v>119</v>
      </c>
      <c r="BP25" s="9">
        <v>113</v>
      </c>
      <c r="BQ25" s="9">
        <v>33</v>
      </c>
      <c r="BR25" s="9">
        <v>34</v>
      </c>
      <c r="BS25" s="9">
        <v>24</v>
      </c>
      <c r="BT25" s="9">
        <v>25</v>
      </c>
      <c r="BU25" s="9">
        <v>20</v>
      </c>
      <c r="BV25" s="9">
        <v>12</v>
      </c>
      <c r="BW25" s="9">
        <v>8</v>
      </c>
      <c r="BX25" s="9">
        <v>12</v>
      </c>
      <c r="BY25" s="9">
        <v>10</v>
      </c>
      <c r="BZ25" s="9">
        <v>6</v>
      </c>
      <c r="CA25" s="9">
        <v>6</v>
      </c>
      <c r="CB25" s="9">
        <v>4</v>
      </c>
      <c r="CC25" s="9">
        <v>2</v>
      </c>
      <c r="CD25" s="9">
        <v>1</v>
      </c>
      <c r="CE25" s="9">
        <v>1</v>
      </c>
      <c r="CF25" s="9">
        <v>3</v>
      </c>
      <c r="CG25" s="9">
        <v>0</v>
      </c>
      <c r="CH25" s="9">
        <v>0</v>
      </c>
      <c r="CI25" s="9">
        <v>2</v>
      </c>
      <c r="CJ25" s="9">
        <v>6</v>
      </c>
      <c r="CK25" s="9">
        <v>3</v>
      </c>
      <c r="CL25" s="9">
        <v>0</v>
      </c>
      <c r="CM25" s="9">
        <v>0</v>
      </c>
      <c r="CN25" s="9">
        <v>2</v>
      </c>
      <c r="CO25" s="9">
        <v>3</v>
      </c>
      <c r="CP25" s="9">
        <v>1</v>
      </c>
      <c r="CQ25" s="9">
        <v>0</v>
      </c>
      <c r="CR25" s="9">
        <v>0</v>
      </c>
      <c r="CS25" s="9">
        <v>2</v>
      </c>
      <c r="CT25" s="9">
        <v>1</v>
      </c>
      <c r="CU25" s="9">
        <v>1</v>
      </c>
      <c r="CV25" s="9">
        <v>0</v>
      </c>
      <c r="CW25" s="9">
        <v>0</v>
      </c>
      <c r="CX25" s="9">
        <v>0</v>
      </c>
      <c r="CY25" s="9">
        <v>1</v>
      </c>
      <c r="CZ25" s="9">
        <v>1</v>
      </c>
      <c r="DA25" s="9">
        <v>0</v>
      </c>
      <c r="DB25" s="9">
        <v>0</v>
      </c>
      <c r="DC25" s="9">
        <v>1</v>
      </c>
      <c r="DD25" s="9">
        <v>7</v>
      </c>
      <c r="DE25" s="9">
        <v>383007</v>
      </c>
      <c r="DF25" s="9">
        <v>248354</v>
      </c>
      <c r="DG25" s="10">
        <v>0.64843201299192998</v>
      </c>
      <c r="DH25" s="11">
        <v>12.636004560631999</v>
      </c>
      <c r="DI25" s="11">
        <v>37.885871212121202</v>
      </c>
      <c r="DJ25" s="9">
        <v>4743</v>
      </c>
      <c r="DK25" s="9">
        <v>36</v>
      </c>
      <c r="DL25" s="9">
        <v>232</v>
      </c>
      <c r="DM25" s="10">
        <f t="shared" si="0"/>
        <v>1.2383585678590731E-2</v>
      </c>
    </row>
    <row r="26" spans="2:117" ht="12.75" customHeight="1">
      <c r="B26" s="8" t="s">
        <v>159</v>
      </c>
      <c r="C26" s="8" t="s">
        <v>160</v>
      </c>
      <c r="D26" s="9">
        <v>19744</v>
      </c>
      <c r="E26" s="9">
        <v>20064</v>
      </c>
      <c r="F26" s="9">
        <v>18928</v>
      </c>
      <c r="G26" s="9">
        <v>17068</v>
      </c>
      <c r="H26" s="9">
        <v>10076</v>
      </c>
      <c r="I26" s="9">
        <v>9405</v>
      </c>
      <c r="J26" s="9">
        <v>15688</v>
      </c>
      <c r="K26" s="9">
        <v>14878</v>
      </c>
      <c r="L26" s="9">
        <v>14506</v>
      </c>
      <c r="M26" s="9">
        <v>13608</v>
      </c>
      <c r="N26" s="9">
        <v>13331</v>
      </c>
      <c r="O26" s="9">
        <v>13318</v>
      </c>
      <c r="P26" s="9">
        <v>12470</v>
      </c>
      <c r="Q26" s="9">
        <v>10744</v>
      </c>
      <c r="R26" s="9">
        <v>11174</v>
      </c>
      <c r="S26" s="9">
        <v>10570</v>
      </c>
      <c r="T26" s="9">
        <v>10023</v>
      </c>
      <c r="U26" s="9">
        <v>9472</v>
      </c>
      <c r="V26" s="9">
        <v>8505</v>
      </c>
      <c r="W26" s="9">
        <v>8156</v>
      </c>
      <c r="X26" s="9">
        <v>7815</v>
      </c>
      <c r="Y26" s="9">
        <v>7051</v>
      </c>
      <c r="Z26" s="9">
        <v>5160</v>
      </c>
      <c r="AA26" s="9">
        <v>6254</v>
      </c>
      <c r="AB26" s="9">
        <v>5928</v>
      </c>
      <c r="AC26" s="9">
        <v>5903</v>
      </c>
      <c r="AD26" s="9">
        <v>5727</v>
      </c>
      <c r="AE26" s="9">
        <v>5643</v>
      </c>
      <c r="AF26" s="9">
        <v>5305</v>
      </c>
      <c r="AG26" s="9">
        <v>5085</v>
      </c>
      <c r="AH26" s="9">
        <v>4751</v>
      </c>
      <c r="AI26" s="9">
        <v>4638</v>
      </c>
      <c r="AJ26" s="9">
        <v>4485</v>
      </c>
      <c r="AK26" s="9">
        <v>4235</v>
      </c>
      <c r="AL26" s="9">
        <v>3965</v>
      </c>
      <c r="AM26" s="9">
        <v>2982</v>
      </c>
      <c r="AN26" s="9">
        <v>3584</v>
      </c>
      <c r="AO26" s="9">
        <v>3324</v>
      </c>
      <c r="AP26" s="9">
        <v>2576</v>
      </c>
      <c r="AQ26" s="9">
        <v>2873</v>
      </c>
      <c r="AR26" s="9">
        <v>2091</v>
      </c>
      <c r="AS26" s="9">
        <v>2104</v>
      </c>
      <c r="AT26" s="9">
        <v>2368</v>
      </c>
      <c r="AU26" s="9">
        <v>2207</v>
      </c>
      <c r="AV26" s="9">
        <v>1980</v>
      </c>
      <c r="AW26" s="9">
        <v>1740</v>
      </c>
      <c r="AX26" s="9">
        <v>1659</v>
      </c>
      <c r="AY26" s="9">
        <v>1442</v>
      </c>
      <c r="AZ26" s="9">
        <v>1351</v>
      </c>
      <c r="BA26" s="9">
        <v>1143</v>
      </c>
      <c r="BB26" s="9">
        <v>1087</v>
      </c>
      <c r="BC26" s="9">
        <v>924</v>
      </c>
      <c r="BD26" s="9">
        <v>644</v>
      </c>
      <c r="BE26" s="9">
        <v>649</v>
      </c>
      <c r="BF26" s="9">
        <v>608</v>
      </c>
      <c r="BG26" s="9">
        <v>513</v>
      </c>
      <c r="BH26" s="9">
        <v>258</v>
      </c>
      <c r="BI26" s="9">
        <v>224</v>
      </c>
      <c r="BJ26" s="9">
        <v>398</v>
      </c>
      <c r="BK26" s="9">
        <v>282</v>
      </c>
      <c r="BL26" s="9">
        <v>216</v>
      </c>
      <c r="BM26" s="9">
        <v>194</v>
      </c>
      <c r="BN26" s="9">
        <v>134</v>
      </c>
      <c r="BO26" s="9">
        <v>130</v>
      </c>
      <c r="BP26" s="9">
        <v>102</v>
      </c>
      <c r="BQ26" s="9">
        <v>34</v>
      </c>
      <c r="BR26" s="9">
        <v>24</v>
      </c>
      <c r="BS26" s="9">
        <v>35</v>
      </c>
      <c r="BT26" s="9">
        <v>17</v>
      </c>
      <c r="BU26" s="9">
        <v>6</v>
      </c>
      <c r="BV26" s="9">
        <v>12</v>
      </c>
      <c r="BW26" s="9">
        <v>2</v>
      </c>
      <c r="BX26" s="9">
        <v>4</v>
      </c>
      <c r="BY26" s="9">
        <v>4</v>
      </c>
      <c r="BZ26" s="9">
        <v>2</v>
      </c>
      <c r="CA26" s="9">
        <v>5</v>
      </c>
      <c r="CB26" s="9">
        <v>3</v>
      </c>
      <c r="CC26" s="9">
        <v>2</v>
      </c>
      <c r="CD26" s="9">
        <v>4</v>
      </c>
      <c r="CE26" s="9">
        <v>1</v>
      </c>
      <c r="CF26" s="9">
        <v>3</v>
      </c>
      <c r="CG26" s="9">
        <v>0</v>
      </c>
      <c r="CH26" s="9">
        <v>0</v>
      </c>
      <c r="CI26" s="9">
        <v>0</v>
      </c>
      <c r="CJ26" s="9">
        <v>1</v>
      </c>
      <c r="CK26" s="9">
        <v>0</v>
      </c>
      <c r="CL26" s="9">
        <v>0</v>
      </c>
      <c r="CM26" s="9">
        <v>0</v>
      </c>
      <c r="CN26" s="9">
        <v>0</v>
      </c>
      <c r="CO26" s="9">
        <v>0</v>
      </c>
      <c r="CP26" s="9">
        <v>1</v>
      </c>
      <c r="CQ26" s="9">
        <v>1</v>
      </c>
      <c r="CR26" s="9">
        <v>1</v>
      </c>
      <c r="CS26" s="9">
        <v>1</v>
      </c>
      <c r="CT26" s="9">
        <v>1</v>
      </c>
      <c r="CU26" s="9">
        <v>4</v>
      </c>
      <c r="CV26" s="9">
        <v>2</v>
      </c>
      <c r="CW26" s="9">
        <v>22</v>
      </c>
      <c r="CX26" s="9">
        <v>0</v>
      </c>
      <c r="CY26" s="9">
        <v>1</v>
      </c>
      <c r="CZ26" s="9">
        <v>1</v>
      </c>
      <c r="DA26" s="9">
        <v>0</v>
      </c>
      <c r="DB26" s="9">
        <v>0</v>
      </c>
      <c r="DC26" s="9">
        <v>1</v>
      </c>
      <c r="DD26" s="9">
        <v>25</v>
      </c>
      <c r="DE26" s="9">
        <v>383680</v>
      </c>
      <c r="DF26" s="9">
        <v>245067</v>
      </c>
      <c r="DG26" s="10">
        <v>0.63872758548790698</v>
      </c>
      <c r="DH26" s="11">
        <v>12.9002405773857</v>
      </c>
      <c r="DI26" s="11">
        <v>37.826293622142003</v>
      </c>
      <c r="DJ26" s="9">
        <v>4572</v>
      </c>
      <c r="DK26" s="9">
        <v>70</v>
      </c>
      <c r="DL26" s="9">
        <v>220</v>
      </c>
      <c r="DM26" s="10">
        <f t="shared" si="0"/>
        <v>1.1916180150125103E-2</v>
      </c>
    </row>
    <row r="27" spans="2:117" ht="12.75" customHeight="1">
      <c r="B27" s="8" t="s">
        <v>161</v>
      </c>
      <c r="C27" s="8" t="s">
        <v>162</v>
      </c>
      <c r="D27" s="9">
        <v>25044</v>
      </c>
      <c r="E27" s="9">
        <v>22489</v>
      </c>
      <c r="F27" s="9">
        <v>19238</v>
      </c>
      <c r="G27" s="9">
        <v>16941</v>
      </c>
      <c r="H27" s="9">
        <v>8565</v>
      </c>
      <c r="I27" s="9">
        <v>7876</v>
      </c>
      <c r="J27" s="9">
        <v>13406</v>
      </c>
      <c r="K27" s="9">
        <v>13207</v>
      </c>
      <c r="L27" s="9">
        <v>12492</v>
      </c>
      <c r="M27" s="9">
        <v>12661</v>
      </c>
      <c r="N27" s="9">
        <v>12322</v>
      </c>
      <c r="O27" s="9">
        <v>12111</v>
      </c>
      <c r="P27" s="9">
        <v>10980</v>
      </c>
      <c r="Q27" s="9">
        <v>10390</v>
      </c>
      <c r="R27" s="9">
        <v>10086</v>
      </c>
      <c r="S27" s="9">
        <v>10140</v>
      </c>
      <c r="T27" s="9">
        <v>9838</v>
      </c>
      <c r="U27" s="9">
        <v>8982</v>
      </c>
      <c r="V27" s="9">
        <v>8293</v>
      </c>
      <c r="W27" s="9">
        <v>8065</v>
      </c>
      <c r="X27" s="9">
        <v>7770</v>
      </c>
      <c r="Y27" s="9">
        <v>7569</v>
      </c>
      <c r="Z27" s="9">
        <v>5485</v>
      </c>
      <c r="AA27" s="9">
        <v>6619</v>
      </c>
      <c r="AB27" s="9">
        <v>6679</v>
      </c>
      <c r="AC27" s="9">
        <v>6398</v>
      </c>
      <c r="AD27" s="9">
        <v>6104</v>
      </c>
      <c r="AE27" s="9">
        <v>5992</v>
      </c>
      <c r="AF27" s="9">
        <v>5914</v>
      </c>
      <c r="AG27" s="9">
        <v>5724</v>
      </c>
      <c r="AH27" s="9">
        <v>5452</v>
      </c>
      <c r="AI27" s="9">
        <v>5389</v>
      </c>
      <c r="AJ27" s="9">
        <v>5208</v>
      </c>
      <c r="AK27" s="9">
        <v>4807</v>
      </c>
      <c r="AL27" s="9">
        <v>4653</v>
      </c>
      <c r="AM27" s="9">
        <v>3354</v>
      </c>
      <c r="AN27" s="9">
        <v>4593</v>
      </c>
      <c r="AO27" s="9">
        <v>4285</v>
      </c>
      <c r="AP27" s="9">
        <v>3427</v>
      </c>
      <c r="AQ27" s="9">
        <v>3835</v>
      </c>
      <c r="AR27" s="9">
        <v>2770</v>
      </c>
      <c r="AS27" s="9">
        <v>2616</v>
      </c>
      <c r="AT27" s="9">
        <v>3172</v>
      </c>
      <c r="AU27" s="9">
        <v>3053</v>
      </c>
      <c r="AV27" s="9">
        <v>2703</v>
      </c>
      <c r="AW27" s="9">
        <v>2551</v>
      </c>
      <c r="AX27" s="9">
        <v>2374</v>
      </c>
      <c r="AY27" s="9">
        <v>2077</v>
      </c>
      <c r="AZ27" s="9">
        <v>1802</v>
      </c>
      <c r="BA27" s="9">
        <v>1551</v>
      </c>
      <c r="BB27" s="9">
        <v>1459</v>
      </c>
      <c r="BC27" s="9">
        <v>1350</v>
      </c>
      <c r="BD27" s="9">
        <v>1023</v>
      </c>
      <c r="BE27" s="9">
        <v>971</v>
      </c>
      <c r="BF27" s="9">
        <v>788</v>
      </c>
      <c r="BG27" s="9">
        <v>600</v>
      </c>
      <c r="BH27" s="9">
        <v>331</v>
      </c>
      <c r="BI27" s="9">
        <v>278</v>
      </c>
      <c r="BJ27" s="9">
        <v>453</v>
      </c>
      <c r="BK27" s="9">
        <v>371</v>
      </c>
      <c r="BL27" s="9">
        <v>308</v>
      </c>
      <c r="BM27" s="9">
        <v>287</v>
      </c>
      <c r="BN27" s="9">
        <v>248</v>
      </c>
      <c r="BO27" s="9">
        <v>225</v>
      </c>
      <c r="BP27" s="9">
        <v>166</v>
      </c>
      <c r="BQ27" s="9">
        <v>46</v>
      </c>
      <c r="BR27" s="9">
        <v>60</v>
      </c>
      <c r="BS27" s="9">
        <v>47</v>
      </c>
      <c r="BT27" s="9">
        <v>32</v>
      </c>
      <c r="BU27" s="9">
        <v>12</v>
      </c>
      <c r="BV27" s="9">
        <v>5</v>
      </c>
      <c r="BW27" s="9">
        <v>4</v>
      </c>
      <c r="BX27" s="9">
        <v>8</v>
      </c>
      <c r="BY27" s="9">
        <v>4</v>
      </c>
      <c r="BZ27" s="9">
        <v>2</v>
      </c>
      <c r="CA27" s="9">
        <v>6</v>
      </c>
      <c r="CB27" s="9">
        <v>4</v>
      </c>
      <c r="CC27" s="9">
        <v>1</v>
      </c>
      <c r="CD27" s="9">
        <v>1</v>
      </c>
      <c r="CE27" s="9">
        <v>5</v>
      </c>
      <c r="CF27" s="9">
        <v>5</v>
      </c>
      <c r="CG27" s="9">
        <v>8</v>
      </c>
      <c r="CH27" s="9">
        <v>3</v>
      </c>
      <c r="CI27" s="9">
        <v>1</v>
      </c>
      <c r="CJ27" s="9">
        <v>0</v>
      </c>
      <c r="CK27" s="9">
        <v>0</v>
      </c>
      <c r="CL27" s="9">
        <v>0</v>
      </c>
      <c r="CM27" s="9">
        <v>0</v>
      </c>
      <c r="CN27" s="9">
        <v>1</v>
      </c>
      <c r="CO27" s="9">
        <v>1</v>
      </c>
      <c r="CP27" s="9">
        <v>0</v>
      </c>
      <c r="CQ27" s="9">
        <v>1</v>
      </c>
      <c r="CR27" s="9">
        <v>0</v>
      </c>
      <c r="CS27" s="9">
        <v>0</v>
      </c>
      <c r="CT27" s="9">
        <v>1</v>
      </c>
      <c r="CU27" s="9">
        <v>0</v>
      </c>
      <c r="CV27" s="9">
        <v>0</v>
      </c>
      <c r="CW27" s="9">
        <v>0</v>
      </c>
      <c r="CX27" s="9">
        <v>0</v>
      </c>
      <c r="CY27" s="9">
        <v>0</v>
      </c>
      <c r="CZ27" s="9">
        <v>0</v>
      </c>
      <c r="DA27" s="9">
        <v>0</v>
      </c>
      <c r="DB27" s="9">
        <v>1</v>
      </c>
      <c r="DC27" s="9">
        <v>0</v>
      </c>
      <c r="DD27" s="9">
        <v>2</v>
      </c>
      <c r="DE27" s="9">
        <v>396171</v>
      </c>
      <c r="DF27" s="9">
        <v>236768</v>
      </c>
      <c r="DG27" s="10">
        <v>0.59764091768453498</v>
      </c>
      <c r="DH27" s="11">
        <v>14.0360400555225</v>
      </c>
      <c r="DI27" s="11">
        <v>40.756072202166102</v>
      </c>
      <c r="DJ27" s="9">
        <v>6310</v>
      </c>
      <c r="DK27" s="9">
        <v>30</v>
      </c>
      <c r="DL27" s="9">
        <v>261</v>
      </c>
      <c r="DM27" s="10">
        <f t="shared" si="0"/>
        <v>1.5927465665078969E-2</v>
      </c>
    </row>
    <row r="28" spans="2:117" ht="12.75" customHeight="1">
      <c r="B28" s="8" t="s">
        <v>163</v>
      </c>
      <c r="C28" s="8" t="s">
        <v>164</v>
      </c>
      <c r="D28" s="9">
        <v>12026</v>
      </c>
      <c r="E28" s="9">
        <v>11536</v>
      </c>
      <c r="F28" s="9">
        <v>10681</v>
      </c>
      <c r="G28" s="9">
        <v>9613</v>
      </c>
      <c r="H28" s="9">
        <v>5529</v>
      </c>
      <c r="I28" s="9">
        <v>5098</v>
      </c>
      <c r="J28" s="9">
        <v>8144</v>
      </c>
      <c r="K28" s="9">
        <v>7790</v>
      </c>
      <c r="L28" s="9">
        <v>7109</v>
      </c>
      <c r="M28" s="9">
        <v>6951</v>
      </c>
      <c r="N28" s="9">
        <v>6649</v>
      </c>
      <c r="O28" s="9">
        <v>6360</v>
      </c>
      <c r="P28" s="9">
        <v>6069</v>
      </c>
      <c r="Q28" s="9">
        <v>5268</v>
      </c>
      <c r="R28" s="9">
        <v>5347</v>
      </c>
      <c r="S28" s="9">
        <v>5108</v>
      </c>
      <c r="T28" s="9">
        <v>4719</v>
      </c>
      <c r="U28" s="9">
        <v>4268</v>
      </c>
      <c r="V28" s="9">
        <v>3679</v>
      </c>
      <c r="W28" s="9">
        <v>3351</v>
      </c>
      <c r="X28" s="9">
        <v>3200</v>
      </c>
      <c r="Y28" s="9">
        <v>2985</v>
      </c>
      <c r="Z28" s="9">
        <v>2281</v>
      </c>
      <c r="AA28" s="9">
        <v>2617</v>
      </c>
      <c r="AB28" s="9">
        <v>2603</v>
      </c>
      <c r="AC28" s="9">
        <v>2608</v>
      </c>
      <c r="AD28" s="9">
        <v>2183</v>
      </c>
      <c r="AE28" s="9">
        <v>2312</v>
      </c>
      <c r="AF28" s="9">
        <v>2273</v>
      </c>
      <c r="AG28" s="9">
        <v>2109</v>
      </c>
      <c r="AH28" s="9">
        <v>2109</v>
      </c>
      <c r="AI28" s="9">
        <v>1844</v>
      </c>
      <c r="AJ28" s="9">
        <v>1818</v>
      </c>
      <c r="AK28" s="9">
        <v>1739</v>
      </c>
      <c r="AL28" s="9">
        <v>1567</v>
      </c>
      <c r="AM28" s="9">
        <v>1221</v>
      </c>
      <c r="AN28" s="9">
        <v>1530</v>
      </c>
      <c r="AO28" s="9">
        <v>1402</v>
      </c>
      <c r="AP28" s="9">
        <v>997</v>
      </c>
      <c r="AQ28" s="9">
        <v>1139</v>
      </c>
      <c r="AR28" s="9">
        <v>823</v>
      </c>
      <c r="AS28" s="9">
        <v>846</v>
      </c>
      <c r="AT28" s="9">
        <v>899</v>
      </c>
      <c r="AU28" s="9">
        <v>857</v>
      </c>
      <c r="AV28" s="9">
        <v>806</v>
      </c>
      <c r="AW28" s="9">
        <v>709</v>
      </c>
      <c r="AX28" s="9">
        <v>588</v>
      </c>
      <c r="AY28" s="9">
        <v>564</v>
      </c>
      <c r="AZ28" s="9">
        <v>493</v>
      </c>
      <c r="BA28" s="9">
        <v>413</v>
      </c>
      <c r="BB28" s="9">
        <v>370</v>
      </c>
      <c r="BC28" s="9">
        <v>323</v>
      </c>
      <c r="BD28" s="9">
        <v>249</v>
      </c>
      <c r="BE28" s="9">
        <v>246</v>
      </c>
      <c r="BF28" s="9">
        <v>182</v>
      </c>
      <c r="BG28" s="9">
        <v>122</v>
      </c>
      <c r="BH28" s="9">
        <v>85</v>
      </c>
      <c r="BI28" s="9">
        <v>50</v>
      </c>
      <c r="BJ28" s="9">
        <v>84</v>
      </c>
      <c r="BK28" s="9">
        <v>67</v>
      </c>
      <c r="BL28" s="9">
        <v>65</v>
      </c>
      <c r="BM28" s="9">
        <v>40</v>
      </c>
      <c r="BN28" s="9">
        <v>43</v>
      </c>
      <c r="BO28" s="9">
        <v>34</v>
      </c>
      <c r="BP28" s="9">
        <v>23</v>
      </c>
      <c r="BQ28" s="9">
        <v>6</v>
      </c>
      <c r="BR28" s="9">
        <v>0</v>
      </c>
      <c r="BS28" s="9">
        <v>2</v>
      </c>
      <c r="BT28" s="9">
        <v>2</v>
      </c>
      <c r="BU28" s="9">
        <v>2</v>
      </c>
      <c r="BV28" s="9">
        <v>0</v>
      </c>
      <c r="BW28" s="9">
        <v>0</v>
      </c>
      <c r="BX28" s="9">
        <v>0</v>
      </c>
      <c r="BY28" s="9">
        <v>0</v>
      </c>
      <c r="BZ28" s="9">
        <v>0</v>
      </c>
      <c r="CA28" s="9">
        <v>0</v>
      </c>
      <c r="CB28" s="9">
        <v>1</v>
      </c>
      <c r="CC28" s="9">
        <v>0</v>
      </c>
      <c r="CD28" s="9">
        <v>0</v>
      </c>
      <c r="CE28" s="9">
        <v>0</v>
      </c>
      <c r="CF28" s="9">
        <v>0</v>
      </c>
      <c r="CG28" s="9">
        <v>0</v>
      </c>
      <c r="CH28" s="9">
        <v>0</v>
      </c>
      <c r="CI28" s="9">
        <v>0</v>
      </c>
      <c r="CJ28" s="9">
        <v>0</v>
      </c>
      <c r="CK28" s="9">
        <v>0</v>
      </c>
      <c r="CL28" s="9">
        <v>0</v>
      </c>
      <c r="CM28" s="9">
        <v>0</v>
      </c>
      <c r="CN28" s="9">
        <v>0</v>
      </c>
      <c r="CO28" s="9">
        <v>0</v>
      </c>
      <c r="CP28" s="9">
        <v>0</v>
      </c>
      <c r="CQ28" s="9">
        <v>0</v>
      </c>
      <c r="CR28" s="9">
        <v>0</v>
      </c>
      <c r="CS28" s="9">
        <v>0</v>
      </c>
      <c r="CT28" s="9">
        <v>0</v>
      </c>
      <c r="CU28" s="9">
        <v>0</v>
      </c>
      <c r="CV28" s="9">
        <v>0</v>
      </c>
      <c r="CW28" s="9">
        <v>0</v>
      </c>
      <c r="CX28" s="9">
        <v>0</v>
      </c>
      <c r="CY28" s="9">
        <v>0</v>
      </c>
      <c r="CZ28" s="9">
        <v>0</v>
      </c>
      <c r="DA28" s="9">
        <v>0</v>
      </c>
      <c r="DB28" s="9">
        <v>0</v>
      </c>
      <c r="DC28" s="9">
        <v>0</v>
      </c>
      <c r="DD28" s="9">
        <v>0</v>
      </c>
      <c r="DE28" s="9">
        <v>184826</v>
      </c>
      <c r="DF28" s="9">
        <v>128265</v>
      </c>
      <c r="DG28" s="10">
        <v>0.69397703786263798</v>
      </c>
      <c r="DH28" s="11">
        <v>11.202358490566001</v>
      </c>
      <c r="DI28" s="11">
        <v>35.406977886977899</v>
      </c>
      <c r="DJ28" s="9">
        <v>1303</v>
      </c>
      <c r="DK28" s="9">
        <v>0</v>
      </c>
      <c r="DL28" s="9">
        <v>13</v>
      </c>
      <c r="DM28" s="10">
        <f t="shared" si="0"/>
        <v>7.0498739354852673E-3</v>
      </c>
    </row>
    <row r="29" spans="2:117" ht="12.75" customHeight="1">
      <c r="B29" s="8" t="s">
        <v>165</v>
      </c>
      <c r="C29" s="8" t="s">
        <v>166</v>
      </c>
      <c r="D29" s="9">
        <v>9031</v>
      </c>
      <c r="E29" s="9">
        <v>9167</v>
      </c>
      <c r="F29" s="9">
        <v>8886</v>
      </c>
      <c r="G29" s="9">
        <v>8053</v>
      </c>
      <c r="H29" s="9">
        <v>4673</v>
      </c>
      <c r="I29" s="9">
        <v>4598</v>
      </c>
      <c r="J29" s="9">
        <v>7603</v>
      </c>
      <c r="K29" s="9">
        <v>7129</v>
      </c>
      <c r="L29" s="9">
        <v>7352</v>
      </c>
      <c r="M29" s="9">
        <v>7095</v>
      </c>
      <c r="N29" s="9">
        <v>7162</v>
      </c>
      <c r="O29" s="9">
        <v>6669</v>
      </c>
      <c r="P29" s="9">
        <v>6391</v>
      </c>
      <c r="Q29" s="9">
        <v>5935</v>
      </c>
      <c r="R29" s="9">
        <v>6204</v>
      </c>
      <c r="S29" s="9">
        <v>6030</v>
      </c>
      <c r="T29" s="9">
        <v>5848</v>
      </c>
      <c r="U29" s="9">
        <v>5636</v>
      </c>
      <c r="V29" s="9">
        <v>5032</v>
      </c>
      <c r="W29" s="9">
        <v>4974</v>
      </c>
      <c r="X29" s="9">
        <v>4625</v>
      </c>
      <c r="Y29" s="9">
        <v>4329</v>
      </c>
      <c r="Z29" s="9">
        <v>3290</v>
      </c>
      <c r="AA29" s="9">
        <v>3961</v>
      </c>
      <c r="AB29" s="9">
        <v>4051</v>
      </c>
      <c r="AC29" s="9">
        <v>3888</v>
      </c>
      <c r="AD29" s="9">
        <v>3608</v>
      </c>
      <c r="AE29" s="9">
        <v>3763</v>
      </c>
      <c r="AF29" s="9">
        <v>3613</v>
      </c>
      <c r="AG29" s="9">
        <v>3448</v>
      </c>
      <c r="AH29" s="9">
        <v>3174</v>
      </c>
      <c r="AI29" s="9">
        <v>2998</v>
      </c>
      <c r="AJ29" s="9">
        <v>3137</v>
      </c>
      <c r="AK29" s="9">
        <v>2815</v>
      </c>
      <c r="AL29" s="9">
        <v>2691</v>
      </c>
      <c r="AM29" s="9">
        <v>1958</v>
      </c>
      <c r="AN29" s="9">
        <v>2619</v>
      </c>
      <c r="AO29" s="9">
        <v>2393</v>
      </c>
      <c r="AP29" s="9">
        <v>1742</v>
      </c>
      <c r="AQ29" s="9">
        <v>1953</v>
      </c>
      <c r="AR29" s="9">
        <v>1549</v>
      </c>
      <c r="AS29" s="9">
        <v>1583</v>
      </c>
      <c r="AT29" s="9">
        <v>1754</v>
      </c>
      <c r="AU29" s="9">
        <v>1629</v>
      </c>
      <c r="AV29" s="9">
        <v>1438</v>
      </c>
      <c r="AW29" s="9">
        <v>1447</v>
      </c>
      <c r="AX29" s="9">
        <v>1345</v>
      </c>
      <c r="AY29" s="9">
        <v>1180</v>
      </c>
      <c r="AZ29" s="9">
        <v>1019</v>
      </c>
      <c r="BA29" s="9">
        <v>865</v>
      </c>
      <c r="BB29" s="9">
        <v>814</v>
      </c>
      <c r="BC29" s="9">
        <v>650</v>
      </c>
      <c r="BD29" s="9">
        <v>570</v>
      </c>
      <c r="BE29" s="9">
        <v>467</v>
      </c>
      <c r="BF29" s="9">
        <v>437</v>
      </c>
      <c r="BG29" s="9">
        <v>390</v>
      </c>
      <c r="BH29" s="9">
        <v>253</v>
      </c>
      <c r="BI29" s="9">
        <v>159</v>
      </c>
      <c r="BJ29" s="9">
        <v>304</v>
      </c>
      <c r="BK29" s="9">
        <v>269</v>
      </c>
      <c r="BL29" s="9">
        <v>238</v>
      </c>
      <c r="BM29" s="9">
        <v>122</v>
      </c>
      <c r="BN29" s="9">
        <v>126</v>
      </c>
      <c r="BO29" s="9">
        <v>139</v>
      </c>
      <c r="BP29" s="9">
        <v>78</v>
      </c>
      <c r="BQ29" s="9">
        <v>10</v>
      </c>
      <c r="BR29" s="9">
        <v>7</v>
      </c>
      <c r="BS29" s="9">
        <v>17</v>
      </c>
      <c r="BT29" s="9">
        <v>6</v>
      </c>
      <c r="BU29" s="9">
        <v>4</v>
      </c>
      <c r="BV29" s="9">
        <v>2</v>
      </c>
      <c r="BW29" s="9">
        <v>2</v>
      </c>
      <c r="BX29" s="9">
        <v>2</v>
      </c>
      <c r="BY29" s="9">
        <v>7</v>
      </c>
      <c r="BZ29" s="9">
        <v>3</v>
      </c>
      <c r="CA29" s="9">
        <v>2</v>
      </c>
      <c r="CB29" s="9">
        <v>0</v>
      </c>
      <c r="CC29" s="9">
        <v>2</v>
      </c>
      <c r="CD29" s="9">
        <v>2</v>
      </c>
      <c r="CE29" s="9">
        <v>1</v>
      </c>
      <c r="CF29" s="9">
        <v>1</v>
      </c>
      <c r="CG29" s="9">
        <v>0</v>
      </c>
      <c r="CH29" s="9">
        <v>1</v>
      </c>
      <c r="CI29" s="9">
        <v>1</v>
      </c>
      <c r="CJ29" s="9">
        <v>0</v>
      </c>
      <c r="CK29" s="9">
        <v>0</v>
      </c>
      <c r="CL29" s="9">
        <v>0</v>
      </c>
      <c r="CM29" s="9">
        <v>0</v>
      </c>
      <c r="CN29" s="9">
        <v>0</v>
      </c>
      <c r="CO29" s="9">
        <v>0</v>
      </c>
      <c r="CP29" s="9">
        <v>0</v>
      </c>
      <c r="CQ29" s="9">
        <v>0</v>
      </c>
      <c r="CR29" s="9">
        <v>2</v>
      </c>
      <c r="CS29" s="9">
        <v>0</v>
      </c>
      <c r="CT29" s="9">
        <v>0</v>
      </c>
      <c r="CU29" s="9">
        <v>0</v>
      </c>
      <c r="CV29" s="9">
        <v>0</v>
      </c>
      <c r="CW29" s="9">
        <v>0</v>
      </c>
      <c r="CX29" s="9">
        <v>1</v>
      </c>
      <c r="CY29" s="9">
        <v>1</v>
      </c>
      <c r="CZ29" s="9">
        <v>0</v>
      </c>
      <c r="DA29" s="9">
        <v>0</v>
      </c>
      <c r="DB29" s="9">
        <v>0</v>
      </c>
      <c r="DC29" s="9">
        <v>0</v>
      </c>
      <c r="DD29" s="9">
        <v>0</v>
      </c>
      <c r="DE29" s="9">
        <v>216423</v>
      </c>
      <c r="DF29" s="9">
        <v>123462</v>
      </c>
      <c r="DG29" s="10">
        <v>0.57046617041626801</v>
      </c>
      <c r="DH29" s="11">
        <v>15.375373134328401</v>
      </c>
      <c r="DI29" s="11">
        <v>41.0228427037271</v>
      </c>
      <c r="DJ29" s="9">
        <v>3626</v>
      </c>
      <c r="DK29" s="9">
        <v>10</v>
      </c>
      <c r="DL29" s="9">
        <v>74</v>
      </c>
      <c r="DM29" s="10">
        <f t="shared" si="0"/>
        <v>1.67542266764623E-2</v>
      </c>
    </row>
    <row r="30" spans="2:117" ht="12.75" customHeight="1">
      <c r="B30" s="8" t="s">
        <v>167</v>
      </c>
      <c r="C30" s="8" t="s">
        <v>168</v>
      </c>
      <c r="D30" s="9">
        <v>6999</v>
      </c>
      <c r="E30" s="9">
        <v>6413</v>
      </c>
      <c r="F30" s="9">
        <v>6279</v>
      </c>
      <c r="G30" s="9">
        <v>5518</v>
      </c>
      <c r="H30" s="9">
        <v>2915</v>
      </c>
      <c r="I30" s="9">
        <v>2969</v>
      </c>
      <c r="J30" s="9">
        <v>4941</v>
      </c>
      <c r="K30" s="9">
        <v>4703</v>
      </c>
      <c r="L30" s="9">
        <v>4413</v>
      </c>
      <c r="M30" s="9">
        <v>4167</v>
      </c>
      <c r="N30" s="9">
        <v>4176</v>
      </c>
      <c r="O30" s="9">
        <v>3907</v>
      </c>
      <c r="P30" s="9">
        <v>3655</v>
      </c>
      <c r="Q30" s="9">
        <v>3362</v>
      </c>
      <c r="R30" s="9">
        <v>3355</v>
      </c>
      <c r="S30" s="9">
        <v>3244</v>
      </c>
      <c r="T30" s="9">
        <v>2959</v>
      </c>
      <c r="U30" s="9">
        <v>2840</v>
      </c>
      <c r="V30" s="9">
        <v>2526</v>
      </c>
      <c r="W30" s="9">
        <v>2491</v>
      </c>
      <c r="X30" s="9">
        <v>2209</v>
      </c>
      <c r="Y30" s="9">
        <v>2094</v>
      </c>
      <c r="Z30" s="9">
        <v>1485</v>
      </c>
      <c r="AA30" s="9">
        <v>1882</v>
      </c>
      <c r="AB30" s="9">
        <v>1814</v>
      </c>
      <c r="AC30" s="9">
        <v>1721</v>
      </c>
      <c r="AD30" s="9">
        <v>1659</v>
      </c>
      <c r="AE30" s="9">
        <v>1609</v>
      </c>
      <c r="AF30" s="9">
        <v>1602</v>
      </c>
      <c r="AG30" s="9">
        <v>1444</v>
      </c>
      <c r="AH30" s="9">
        <v>1284</v>
      </c>
      <c r="AI30" s="9">
        <v>1216</v>
      </c>
      <c r="AJ30" s="9">
        <v>1284</v>
      </c>
      <c r="AK30" s="9">
        <v>1192</v>
      </c>
      <c r="AL30" s="9">
        <v>1096</v>
      </c>
      <c r="AM30" s="9">
        <v>821</v>
      </c>
      <c r="AN30" s="9">
        <v>1086</v>
      </c>
      <c r="AO30" s="9">
        <v>983</v>
      </c>
      <c r="AP30" s="9">
        <v>762</v>
      </c>
      <c r="AQ30" s="9">
        <v>826</v>
      </c>
      <c r="AR30" s="9">
        <v>581</v>
      </c>
      <c r="AS30" s="9">
        <v>538</v>
      </c>
      <c r="AT30" s="9">
        <v>622</v>
      </c>
      <c r="AU30" s="9">
        <v>630</v>
      </c>
      <c r="AV30" s="9">
        <v>537</v>
      </c>
      <c r="AW30" s="9">
        <v>471</v>
      </c>
      <c r="AX30" s="9">
        <v>388</v>
      </c>
      <c r="AY30" s="9">
        <v>396</v>
      </c>
      <c r="AZ30" s="9">
        <v>326</v>
      </c>
      <c r="BA30" s="9">
        <v>286</v>
      </c>
      <c r="BB30" s="9">
        <v>212</v>
      </c>
      <c r="BC30" s="9">
        <v>174</v>
      </c>
      <c r="BD30" s="9">
        <v>169</v>
      </c>
      <c r="BE30" s="9">
        <v>156</v>
      </c>
      <c r="BF30" s="9">
        <v>102</v>
      </c>
      <c r="BG30" s="9">
        <v>95</v>
      </c>
      <c r="BH30" s="9">
        <v>55</v>
      </c>
      <c r="BI30" s="9">
        <v>20</v>
      </c>
      <c r="BJ30" s="9">
        <v>42</v>
      </c>
      <c r="BK30" s="9">
        <v>51</v>
      </c>
      <c r="BL30" s="9">
        <v>50</v>
      </c>
      <c r="BM30" s="9">
        <v>42</v>
      </c>
      <c r="BN30" s="9">
        <v>25</v>
      </c>
      <c r="BO30" s="9">
        <v>13</v>
      </c>
      <c r="BP30" s="9">
        <v>16</v>
      </c>
      <c r="BQ30" s="9">
        <v>3</v>
      </c>
      <c r="BR30" s="9">
        <v>7</v>
      </c>
      <c r="BS30" s="9">
        <v>3</v>
      </c>
      <c r="BT30" s="9">
        <v>1</v>
      </c>
      <c r="BU30" s="9">
        <v>1</v>
      </c>
      <c r="BV30" s="9">
        <v>1</v>
      </c>
      <c r="BW30" s="9">
        <v>0</v>
      </c>
      <c r="BX30" s="9">
        <v>1</v>
      </c>
      <c r="BY30" s="9">
        <v>1</v>
      </c>
      <c r="BZ30" s="9">
        <v>0</v>
      </c>
      <c r="CA30" s="9">
        <v>0</v>
      </c>
      <c r="CB30" s="9">
        <v>1</v>
      </c>
      <c r="CC30" s="9">
        <v>0</v>
      </c>
      <c r="CD30" s="9">
        <v>1</v>
      </c>
      <c r="CE30" s="9">
        <v>0</v>
      </c>
      <c r="CF30" s="9">
        <v>0</v>
      </c>
      <c r="CG30" s="9">
        <v>0</v>
      </c>
      <c r="CH30" s="9">
        <v>0</v>
      </c>
      <c r="CI30" s="9">
        <v>0</v>
      </c>
      <c r="CJ30" s="9">
        <v>0</v>
      </c>
      <c r="CK30" s="9">
        <v>0</v>
      </c>
      <c r="CL30" s="9">
        <v>0</v>
      </c>
      <c r="CM30" s="9">
        <v>0</v>
      </c>
      <c r="CN30" s="9">
        <v>0</v>
      </c>
      <c r="CO30" s="9">
        <v>0</v>
      </c>
      <c r="CP30" s="9">
        <v>0</v>
      </c>
      <c r="CQ30" s="9">
        <v>0</v>
      </c>
      <c r="CR30" s="9">
        <v>0</v>
      </c>
      <c r="CS30" s="9">
        <v>0</v>
      </c>
      <c r="CT30" s="9">
        <v>0</v>
      </c>
      <c r="CU30" s="9">
        <v>0</v>
      </c>
      <c r="CV30" s="9">
        <v>0</v>
      </c>
      <c r="CW30" s="9">
        <v>0</v>
      </c>
      <c r="CX30" s="9">
        <v>0</v>
      </c>
      <c r="CY30" s="9">
        <v>0</v>
      </c>
      <c r="CZ30" s="9">
        <v>0</v>
      </c>
      <c r="DA30" s="9">
        <v>0</v>
      </c>
      <c r="DB30" s="9">
        <v>0</v>
      </c>
      <c r="DC30" s="9">
        <v>0</v>
      </c>
      <c r="DD30" s="9">
        <v>0</v>
      </c>
      <c r="DE30" s="9">
        <v>115918</v>
      </c>
      <c r="DF30" s="9">
        <v>76815</v>
      </c>
      <c r="DG30" s="10">
        <v>0.66266671267620203</v>
      </c>
      <c r="DH30" s="11">
        <v>12.1529411764706</v>
      </c>
      <c r="DI30" s="11">
        <v>36.368839779005498</v>
      </c>
      <c r="DJ30" s="9">
        <v>856</v>
      </c>
      <c r="DK30" s="9">
        <v>1</v>
      </c>
      <c r="DL30" s="9">
        <v>20</v>
      </c>
      <c r="DM30" s="10">
        <f t="shared" si="0"/>
        <v>7.3845304439345057E-3</v>
      </c>
    </row>
    <row r="31" spans="2:117" ht="12.75" customHeight="1">
      <c r="B31" s="8" t="s">
        <v>169</v>
      </c>
      <c r="C31" s="8" t="s">
        <v>170</v>
      </c>
      <c r="D31" s="9">
        <v>2128</v>
      </c>
      <c r="E31" s="9">
        <v>2049</v>
      </c>
      <c r="F31" s="9">
        <v>1979</v>
      </c>
      <c r="G31" s="9">
        <v>1676</v>
      </c>
      <c r="H31" s="9">
        <v>899</v>
      </c>
      <c r="I31" s="9">
        <v>861</v>
      </c>
      <c r="J31" s="9">
        <v>1306</v>
      </c>
      <c r="K31" s="9">
        <v>1384</v>
      </c>
      <c r="L31" s="9">
        <v>1275</v>
      </c>
      <c r="M31" s="9">
        <v>1101</v>
      </c>
      <c r="N31" s="9">
        <v>949</v>
      </c>
      <c r="O31" s="9">
        <v>938</v>
      </c>
      <c r="P31" s="9">
        <v>878</v>
      </c>
      <c r="Q31" s="9">
        <v>772</v>
      </c>
      <c r="R31" s="9">
        <v>749</v>
      </c>
      <c r="S31" s="9">
        <v>694</v>
      </c>
      <c r="T31" s="9">
        <v>644</v>
      </c>
      <c r="U31" s="9">
        <v>609</v>
      </c>
      <c r="V31" s="9">
        <v>474</v>
      </c>
      <c r="W31" s="9">
        <v>464</v>
      </c>
      <c r="X31" s="9">
        <v>413</v>
      </c>
      <c r="Y31" s="9">
        <v>375</v>
      </c>
      <c r="Z31" s="9">
        <v>279</v>
      </c>
      <c r="AA31" s="9">
        <v>317</v>
      </c>
      <c r="AB31" s="9">
        <v>312</v>
      </c>
      <c r="AC31" s="9">
        <v>275</v>
      </c>
      <c r="AD31" s="9">
        <v>205</v>
      </c>
      <c r="AE31" s="9">
        <v>223</v>
      </c>
      <c r="AF31" s="9">
        <v>269</v>
      </c>
      <c r="AG31" s="9">
        <v>192</v>
      </c>
      <c r="AH31" s="9">
        <v>232</v>
      </c>
      <c r="AI31" s="9">
        <v>150</v>
      </c>
      <c r="AJ31" s="9">
        <v>140</v>
      </c>
      <c r="AK31" s="9">
        <v>139</v>
      </c>
      <c r="AL31" s="9">
        <v>102</v>
      </c>
      <c r="AM31" s="9">
        <v>78</v>
      </c>
      <c r="AN31" s="9">
        <v>103</v>
      </c>
      <c r="AO31" s="9">
        <v>58</v>
      </c>
      <c r="AP31" s="9">
        <v>37</v>
      </c>
      <c r="AQ31" s="9">
        <v>48</v>
      </c>
      <c r="AR31" s="9">
        <v>55</v>
      </c>
      <c r="AS31" s="9">
        <v>31</v>
      </c>
      <c r="AT31" s="9">
        <v>46</v>
      </c>
      <c r="AU31" s="9">
        <v>44</v>
      </c>
      <c r="AV31" s="9">
        <v>34</v>
      </c>
      <c r="AW31" s="9">
        <v>44</v>
      </c>
      <c r="AX31" s="9">
        <v>24</v>
      </c>
      <c r="AY31" s="9">
        <v>29</v>
      </c>
      <c r="AZ31" s="9">
        <v>18</v>
      </c>
      <c r="BA31" s="9">
        <v>31</v>
      </c>
      <c r="BB31" s="9">
        <v>40</v>
      </c>
      <c r="BC31" s="9">
        <v>17</v>
      </c>
      <c r="BD31" s="9">
        <v>35</v>
      </c>
      <c r="BE31" s="9">
        <v>8</v>
      </c>
      <c r="BF31" s="9">
        <v>19</v>
      </c>
      <c r="BG31" s="9">
        <v>7</v>
      </c>
      <c r="BH31" s="9">
        <v>16</v>
      </c>
      <c r="BI31" s="9">
        <v>6</v>
      </c>
      <c r="BJ31" s="9">
        <v>10</v>
      </c>
      <c r="BK31" s="9">
        <v>6</v>
      </c>
      <c r="BL31" s="9">
        <v>9</v>
      </c>
      <c r="BM31" s="9">
        <v>9</v>
      </c>
      <c r="BN31" s="9">
        <v>9</v>
      </c>
      <c r="BO31" s="9">
        <v>4</v>
      </c>
      <c r="BP31" s="9">
        <v>3</v>
      </c>
      <c r="BQ31" s="9">
        <v>0</v>
      </c>
      <c r="BR31" s="9">
        <v>0</v>
      </c>
      <c r="BS31" s="9">
        <v>0</v>
      </c>
      <c r="BT31" s="9">
        <v>0</v>
      </c>
      <c r="BU31" s="9">
        <v>0</v>
      </c>
      <c r="BV31" s="9">
        <v>0</v>
      </c>
      <c r="BW31" s="9">
        <v>0</v>
      </c>
      <c r="BX31" s="9">
        <v>0</v>
      </c>
      <c r="BY31" s="9">
        <v>0</v>
      </c>
      <c r="BZ31" s="9">
        <v>0</v>
      </c>
      <c r="CA31" s="9">
        <v>0</v>
      </c>
      <c r="CB31" s="9">
        <v>0</v>
      </c>
      <c r="CC31" s="9">
        <v>0</v>
      </c>
      <c r="CD31" s="9">
        <v>0</v>
      </c>
      <c r="CE31" s="9">
        <v>0</v>
      </c>
      <c r="CF31" s="9">
        <v>0</v>
      </c>
      <c r="CG31" s="9">
        <v>0</v>
      </c>
      <c r="CH31" s="9">
        <v>0</v>
      </c>
      <c r="CI31" s="9">
        <v>0</v>
      </c>
      <c r="CJ31" s="9">
        <v>0</v>
      </c>
      <c r="CK31" s="9">
        <v>0</v>
      </c>
      <c r="CL31" s="9">
        <v>0</v>
      </c>
      <c r="CM31" s="9">
        <v>0</v>
      </c>
      <c r="CN31" s="9">
        <v>0</v>
      </c>
      <c r="CO31" s="9">
        <v>1</v>
      </c>
      <c r="CP31" s="9">
        <v>0</v>
      </c>
      <c r="CQ31" s="9">
        <v>0</v>
      </c>
      <c r="CR31" s="9">
        <v>0</v>
      </c>
      <c r="CS31" s="9">
        <v>0</v>
      </c>
      <c r="CT31" s="9">
        <v>0</v>
      </c>
      <c r="CU31" s="9">
        <v>0</v>
      </c>
      <c r="CV31" s="9">
        <v>0</v>
      </c>
      <c r="CW31" s="9">
        <v>0</v>
      </c>
      <c r="CX31" s="9">
        <v>0</v>
      </c>
      <c r="CY31" s="9">
        <v>0</v>
      </c>
      <c r="CZ31" s="9">
        <v>0</v>
      </c>
      <c r="DA31" s="9">
        <v>0</v>
      </c>
      <c r="DB31" s="9">
        <v>0</v>
      </c>
      <c r="DC31" s="9">
        <v>0</v>
      </c>
      <c r="DD31" s="9">
        <v>1</v>
      </c>
      <c r="DE31" s="9">
        <v>26332</v>
      </c>
      <c r="DF31" s="9">
        <v>20891</v>
      </c>
      <c r="DG31" s="10">
        <v>0.79336928452073496</v>
      </c>
      <c r="DH31" s="11">
        <v>8.6933333333333298</v>
      </c>
      <c r="DI31" s="11">
        <v>27.988520179372198</v>
      </c>
      <c r="DJ31" s="9">
        <v>143</v>
      </c>
      <c r="DK31" s="9">
        <v>2</v>
      </c>
      <c r="DL31" s="9">
        <v>2</v>
      </c>
      <c r="DM31" s="10">
        <f t="shared" si="0"/>
        <v>5.4306547166945163E-3</v>
      </c>
    </row>
    <row r="32" spans="2:117" ht="12.75" customHeight="1">
      <c r="B32" s="8" t="s">
        <v>171</v>
      </c>
      <c r="C32" s="8" t="s">
        <v>172</v>
      </c>
      <c r="D32" s="9">
        <v>26021</v>
      </c>
      <c r="E32" s="9">
        <v>25854</v>
      </c>
      <c r="F32" s="9">
        <v>23455</v>
      </c>
      <c r="G32" s="9">
        <v>21584</v>
      </c>
      <c r="H32" s="9">
        <v>12042</v>
      </c>
      <c r="I32" s="9">
        <v>11660</v>
      </c>
      <c r="J32" s="9">
        <v>19844</v>
      </c>
      <c r="K32" s="9">
        <v>19308</v>
      </c>
      <c r="L32" s="9">
        <v>18487</v>
      </c>
      <c r="M32" s="9">
        <v>17848</v>
      </c>
      <c r="N32" s="9">
        <v>17319</v>
      </c>
      <c r="O32" s="9">
        <v>17513</v>
      </c>
      <c r="P32" s="9">
        <v>16390</v>
      </c>
      <c r="Q32" s="9">
        <v>14749</v>
      </c>
      <c r="R32" s="9">
        <v>15501</v>
      </c>
      <c r="S32" s="9">
        <v>15036</v>
      </c>
      <c r="T32" s="9">
        <v>14645</v>
      </c>
      <c r="U32" s="9">
        <v>14026</v>
      </c>
      <c r="V32" s="9">
        <v>12658</v>
      </c>
      <c r="W32" s="9">
        <v>12065</v>
      </c>
      <c r="X32" s="9">
        <v>12099</v>
      </c>
      <c r="Y32" s="9">
        <v>11582</v>
      </c>
      <c r="Z32" s="9">
        <v>8350</v>
      </c>
      <c r="AA32" s="9">
        <v>9818</v>
      </c>
      <c r="AB32" s="9">
        <v>9726</v>
      </c>
      <c r="AC32" s="9">
        <v>9353</v>
      </c>
      <c r="AD32" s="9">
        <v>9086</v>
      </c>
      <c r="AE32" s="9">
        <v>9033</v>
      </c>
      <c r="AF32" s="9">
        <v>8603</v>
      </c>
      <c r="AG32" s="9">
        <v>8521</v>
      </c>
      <c r="AH32" s="9">
        <v>8275</v>
      </c>
      <c r="AI32" s="9">
        <v>7698</v>
      </c>
      <c r="AJ32" s="9">
        <v>7619</v>
      </c>
      <c r="AK32" s="9">
        <v>7467</v>
      </c>
      <c r="AL32" s="9">
        <v>7198</v>
      </c>
      <c r="AM32" s="9">
        <v>5222</v>
      </c>
      <c r="AN32" s="9">
        <v>6699</v>
      </c>
      <c r="AO32" s="9">
        <v>6097</v>
      </c>
      <c r="AP32" s="9">
        <v>4709</v>
      </c>
      <c r="AQ32" s="9">
        <v>5183</v>
      </c>
      <c r="AR32" s="9">
        <v>3924</v>
      </c>
      <c r="AS32" s="9">
        <v>3885</v>
      </c>
      <c r="AT32" s="9">
        <v>4813</v>
      </c>
      <c r="AU32" s="9">
        <v>4255</v>
      </c>
      <c r="AV32" s="9">
        <v>3857</v>
      </c>
      <c r="AW32" s="9">
        <v>3944</v>
      </c>
      <c r="AX32" s="9">
        <v>3436</v>
      </c>
      <c r="AY32" s="9">
        <v>3470</v>
      </c>
      <c r="AZ32" s="9">
        <v>3072</v>
      </c>
      <c r="BA32" s="9">
        <v>2525</v>
      </c>
      <c r="BB32" s="9">
        <v>2576</v>
      </c>
      <c r="BC32" s="9">
        <v>2369</v>
      </c>
      <c r="BD32" s="9">
        <v>2269</v>
      </c>
      <c r="BE32" s="9">
        <v>1902</v>
      </c>
      <c r="BF32" s="9">
        <v>1698</v>
      </c>
      <c r="BG32" s="9">
        <v>1367</v>
      </c>
      <c r="BH32" s="9">
        <v>850</v>
      </c>
      <c r="BI32" s="9">
        <v>597</v>
      </c>
      <c r="BJ32" s="9">
        <v>1206</v>
      </c>
      <c r="BK32" s="9">
        <v>1108</v>
      </c>
      <c r="BL32" s="9">
        <v>906</v>
      </c>
      <c r="BM32" s="9">
        <v>732</v>
      </c>
      <c r="BN32" s="9">
        <v>630</v>
      </c>
      <c r="BO32" s="9">
        <v>560</v>
      </c>
      <c r="BP32" s="9">
        <v>437</v>
      </c>
      <c r="BQ32" s="9">
        <v>99</v>
      </c>
      <c r="BR32" s="9">
        <v>58</v>
      </c>
      <c r="BS32" s="9">
        <v>66</v>
      </c>
      <c r="BT32" s="9">
        <v>55</v>
      </c>
      <c r="BU32" s="9">
        <v>34</v>
      </c>
      <c r="BV32" s="9">
        <v>22</v>
      </c>
      <c r="BW32" s="9">
        <v>19</v>
      </c>
      <c r="BX32" s="9">
        <v>9</v>
      </c>
      <c r="BY32" s="9">
        <v>3</v>
      </c>
      <c r="BZ32" s="9">
        <v>7</v>
      </c>
      <c r="CA32" s="9">
        <v>6</v>
      </c>
      <c r="CB32" s="9">
        <v>6</v>
      </c>
      <c r="CC32" s="9">
        <v>2</v>
      </c>
      <c r="CD32" s="9">
        <v>2</v>
      </c>
      <c r="CE32" s="9">
        <v>0</v>
      </c>
      <c r="CF32" s="9">
        <v>1</v>
      </c>
      <c r="CG32" s="9">
        <v>2</v>
      </c>
      <c r="CH32" s="9">
        <v>0</v>
      </c>
      <c r="CI32" s="9">
        <v>1</v>
      </c>
      <c r="CJ32" s="9">
        <v>1</v>
      </c>
      <c r="CK32" s="9">
        <v>0</v>
      </c>
      <c r="CL32" s="9">
        <v>4</v>
      </c>
      <c r="CM32" s="9">
        <v>1</v>
      </c>
      <c r="CN32" s="9">
        <v>1</v>
      </c>
      <c r="CO32" s="9">
        <v>0</v>
      </c>
      <c r="CP32" s="9">
        <v>1</v>
      </c>
      <c r="CQ32" s="9">
        <v>1</v>
      </c>
      <c r="CR32" s="9">
        <v>0</v>
      </c>
      <c r="CS32" s="9">
        <v>0</v>
      </c>
      <c r="CT32" s="9">
        <v>0</v>
      </c>
      <c r="CU32" s="9">
        <v>0</v>
      </c>
      <c r="CV32" s="9">
        <v>0</v>
      </c>
      <c r="CW32" s="9">
        <v>0</v>
      </c>
      <c r="CX32" s="9">
        <v>0</v>
      </c>
      <c r="CY32" s="9">
        <v>1</v>
      </c>
      <c r="CZ32" s="9">
        <v>0</v>
      </c>
      <c r="DA32" s="9">
        <v>0</v>
      </c>
      <c r="DB32" s="9">
        <v>1</v>
      </c>
      <c r="DC32" s="9">
        <v>0</v>
      </c>
      <c r="DD32" s="9">
        <v>0</v>
      </c>
      <c r="DE32" s="9">
        <v>565134</v>
      </c>
      <c r="DF32" s="9">
        <v>321282</v>
      </c>
      <c r="DG32" s="10">
        <v>0.56850587648239204</v>
      </c>
      <c r="DH32" s="11">
        <v>15.3320031923384</v>
      </c>
      <c r="DI32" s="11">
        <v>42.783561188447997</v>
      </c>
      <c r="DJ32" s="9">
        <v>14665</v>
      </c>
      <c r="DK32" s="9">
        <v>17</v>
      </c>
      <c r="DL32" s="9">
        <v>403</v>
      </c>
      <c r="DM32" s="10">
        <f t="shared" si="0"/>
        <v>2.5949597794505373E-2</v>
      </c>
    </row>
    <row r="33" spans="2:117" ht="12.75" customHeight="1">
      <c r="B33" s="8" t="s">
        <v>173</v>
      </c>
      <c r="C33" s="8" t="s">
        <v>174</v>
      </c>
      <c r="D33" s="9">
        <v>37564</v>
      </c>
      <c r="E33" s="9">
        <v>35782</v>
      </c>
      <c r="F33" s="9">
        <v>33488</v>
      </c>
      <c r="G33" s="9">
        <v>29649</v>
      </c>
      <c r="H33" s="9">
        <v>16674</v>
      </c>
      <c r="I33" s="9">
        <v>16117</v>
      </c>
      <c r="J33" s="9">
        <v>26540</v>
      </c>
      <c r="K33" s="9">
        <v>25028</v>
      </c>
      <c r="L33" s="9">
        <v>23369</v>
      </c>
      <c r="M33" s="9">
        <v>22066</v>
      </c>
      <c r="N33" s="9">
        <v>21171</v>
      </c>
      <c r="O33" s="9">
        <v>20487</v>
      </c>
      <c r="P33" s="9">
        <v>19283</v>
      </c>
      <c r="Q33" s="9">
        <v>17235</v>
      </c>
      <c r="R33" s="9">
        <v>16748</v>
      </c>
      <c r="S33" s="9">
        <v>16304</v>
      </c>
      <c r="T33" s="9">
        <v>15086</v>
      </c>
      <c r="U33" s="9">
        <v>14774</v>
      </c>
      <c r="V33" s="9">
        <v>12562</v>
      </c>
      <c r="W33" s="9">
        <v>11695</v>
      </c>
      <c r="X33" s="9">
        <v>11150</v>
      </c>
      <c r="Y33" s="9">
        <v>10391</v>
      </c>
      <c r="Z33" s="9">
        <v>7330</v>
      </c>
      <c r="AA33" s="9">
        <v>9161</v>
      </c>
      <c r="AB33" s="9">
        <v>9004</v>
      </c>
      <c r="AC33" s="9">
        <v>8539</v>
      </c>
      <c r="AD33" s="9">
        <v>8348</v>
      </c>
      <c r="AE33" s="9">
        <v>8222</v>
      </c>
      <c r="AF33" s="9">
        <v>7988</v>
      </c>
      <c r="AG33" s="9">
        <v>7657</v>
      </c>
      <c r="AH33" s="9">
        <v>7375</v>
      </c>
      <c r="AI33" s="9">
        <v>7012</v>
      </c>
      <c r="AJ33" s="9">
        <v>6957</v>
      </c>
      <c r="AK33" s="9">
        <v>6314</v>
      </c>
      <c r="AL33" s="9">
        <v>6104</v>
      </c>
      <c r="AM33" s="9">
        <v>4575</v>
      </c>
      <c r="AN33" s="9">
        <v>5686</v>
      </c>
      <c r="AO33" s="9">
        <v>5062</v>
      </c>
      <c r="AP33" s="9">
        <v>3964</v>
      </c>
      <c r="AQ33" s="9">
        <v>4667</v>
      </c>
      <c r="AR33" s="9">
        <v>3401</v>
      </c>
      <c r="AS33" s="9">
        <v>3408</v>
      </c>
      <c r="AT33" s="9">
        <v>3803</v>
      </c>
      <c r="AU33" s="9">
        <v>3594</v>
      </c>
      <c r="AV33" s="9">
        <v>3099</v>
      </c>
      <c r="AW33" s="9">
        <v>2950</v>
      </c>
      <c r="AX33" s="9">
        <v>2545</v>
      </c>
      <c r="AY33" s="9">
        <v>2552</v>
      </c>
      <c r="AZ33" s="9">
        <v>2153</v>
      </c>
      <c r="BA33" s="9">
        <v>1779</v>
      </c>
      <c r="BB33" s="9">
        <v>1789</v>
      </c>
      <c r="BC33" s="9">
        <v>1456</v>
      </c>
      <c r="BD33" s="9">
        <v>1224</v>
      </c>
      <c r="BE33" s="9">
        <v>1066</v>
      </c>
      <c r="BF33" s="9">
        <v>900</v>
      </c>
      <c r="BG33" s="9">
        <v>673</v>
      </c>
      <c r="BH33" s="9">
        <v>407</v>
      </c>
      <c r="BI33" s="9">
        <v>262</v>
      </c>
      <c r="BJ33" s="9">
        <v>496</v>
      </c>
      <c r="BK33" s="9">
        <v>392</v>
      </c>
      <c r="BL33" s="9">
        <v>354</v>
      </c>
      <c r="BM33" s="9">
        <v>233</v>
      </c>
      <c r="BN33" s="9">
        <v>186</v>
      </c>
      <c r="BO33" s="9">
        <v>166</v>
      </c>
      <c r="BP33" s="9">
        <v>116</v>
      </c>
      <c r="BQ33" s="9">
        <v>34</v>
      </c>
      <c r="BR33" s="9">
        <v>16</v>
      </c>
      <c r="BS33" s="9">
        <v>15</v>
      </c>
      <c r="BT33" s="9">
        <v>16</v>
      </c>
      <c r="BU33" s="9">
        <v>11</v>
      </c>
      <c r="BV33" s="9">
        <v>8</v>
      </c>
      <c r="BW33" s="9">
        <v>8</v>
      </c>
      <c r="BX33" s="9">
        <v>6</v>
      </c>
      <c r="BY33" s="9">
        <v>8</v>
      </c>
      <c r="BZ33" s="9">
        <v>2</v>
      </c>
      <c r="CA33" s="9">
        <v>7</v>
      </c>
      <c r="CB33" s="9">
        <v>0</v>
      </c>
      <c r="CC33" s="9">
        <v>1</v>
      </c>
      <c r="CD33" s="9">
        <v>3</v>
      </c>
      <c r="CE33" s="9">
        <v>3</v>
      </c>
      <c r="CF33" s="9">
        <v>1</v>
      </c>
      <c r="CG33" s="9">
        <v>0</v>
      </c>
      <c r="CH33" s="9">
        <v>2</v>
      </c>
      <c r="CI33" s="9">
        <v>0</v>
      </c>
      <c r="CJ33" s="9">
        <v>2</v>
      </c>
      <c r="CK33" s="9">
        <v>3</v>
      </c>
      <c r="CL33" s="9">
        <v>1</v>
      </c>
      <c r="CM33" s="9">
        <v>1</v>
      </c>
      <c r="CN33" s="9">
        <v>2</v>
      </c>
      <c r="CO33" s="9">
        <v>0</v>
      </c>
      <c r="CP33" s="9">
        <v>0</v>
      </c>
      <c r="CQ33" s="9">
        <v>2</v>
      </c>
      <c r="CR33" s="9">
        <v>1</v>
      </c>
      <c r="CS33" s="9">
        <v>0</v>
      </c>
      <c r="CT33" s="9">
        <v>0</v>
      </c>
      <c r="CU33" s="9">
        <v>0</v>
      </c>
      <c r="CV33" s="9">
        <v>1</v>
      </c>
      <c r="CW33" s="9">
        <v>0</v>
      </c>
      <c r="CX33" s="9">
        <v>0</v>
      </c>
      <c r="CY33" s="9">
        <v>0</v>
      </c>
      <c r="CZ33" s="9">
        <v>0</v>
      </c>
      <c r="DA33" s="9">
        <v>0</v>
      </c>
      <c r="DB33" s="9">
        <v>0</v>
      </c>
      <c r="DC33" s="9">
        <v>0</v>
      </c>
      <c r="DD33" s="9">
        <v>1</v>
      </c>
      <c r="DE33" s="9">
        <v>616287</v>
      </c>
      <c r="DF33" s="9">
        <v>407365</v>
      </c>
      <c r="DG33" s="10">
        <v>0.66099885280721504</v>
      </c>
      <c r="DH33" s="11">
        <v>12.010812632889101</v>
      </c>
      <c r="DI33" s="11">
        <v>37.701114184117003</v>
      </c>
      <c r="DJ33" s="9">
        <v>6630</v>
      </c>
      <c r="DK33" s="9">
        <v>23</v>
      </c>
      <c r="DL33" s="9">
        <v>155</v>
      </c>
      <c r="DM33" s="10">
        <f t="shared" si="0"/>
        <v>1.0757974774739691E-2</v>
      </c>
    </row>
    <row r="34" spans="2:117" ht="12.75" customHeight="1">
      <c r="B34" s="8" t="s">
        <v>175</v>
      </c>
      <c r="C34" s="8" t="s">
        <v>176</v>
      </c>
      <c r="D34" s="9">
        <v>248</v>
      </c>
      <c r="E34" s="9">
        <v>274</v>
      </c>
      <c r="F34" s="9">
        <v>221</v>
      </c>
      <c r="G34" s="9">
        <v>158</v>
      </c>
      <c r="H34" s="9">
        <v>88</v>
      </c>
      <c r="I34" s="9">
        <v>84</v>
      </c>
      <c r="J34" s="9">
        <v>132</v>
      </c>
      <c r="K34" s="9">
        <v>127</v>
      </c>
      <c r="L34" s="9">
        <v>121</v>
      </c>
      <c r="M34" s="9">
        <v>129</v>
      </c>
      <c r="N34" s="9">
        <v>104</v>
      </c>
      <c r="O34" s="9">
        <v>90</v>
      </c>
      <c r="P34" s="9">
        <v>110</v>
      </c>
      <c r="Q34" s="9">
        <v>77</v>
      </c>
      <c r="R34" s="9">
        <v>73</v>
      </c>
      <c r="S34" s="9">
        <v>87</v>
      </c>
      <c r="T34" s="9">
        <v>80</v>
      </c>
      <c r="U34" s="9">
        <v>84</v>
      </c>
      <c r="V34" s="9">
        <v>53</v>
      </c>
      <c r="W34" s="9">
        <v>56</v>
      </c>
      <c r="X34" s="9">
        <v>63</v>
      </c>
      <c r="Y34" s="9">
        <v>32</v>
      </c>
      <c r="Z34" s="9">
        <v>36</v>
      </c>
      <c r="AA34" s="9">
        <v>44</v>
      </c>
      <c r="AB34" s="9">
        <v>38</v>
      </c>
      <c r="AC34" s="9">
        <v>34</v>
      </c>
      <c r="AD34" s="9">
        <v>25</v>
      </c>
      <c r="AE34" s="9">
        <v>30</v>
      </c>
      <c r="AF34" s="9">
        <v>25</v>
      </c>
      <c r="AG34" s="9">
        <v>16</v>
      </c>
      <c r="AH34" s="9">
        <v>17</v>
      </c>
      <c r="AI34" s="9">
        <v>28</v>
      </c>
      <c r="AJ34" s="9">
        <v>31</v>
      </c>
      <c r="AK34" s="9">
        <v>14</v>
      </c>
      <c r="AL34" s="9">
        <v>13</v>
      </c>
      <c r="AM34" s="9">
        <v>13</v>
      </c>
      <c r="AN34" s="9">
        <v>15</v>
      </c>
      <c r="AO34" s="9">
        <v>38</v>
      </c>
      <c r="AP34" s="9">
        <v>15</v>
      </c>
      <c r="AQ34" s="9">
        <v>5</v>
      </c>
      <c r="AR34" s="9">
        <v>6</v>
      </c>
      <c r="AS34" s="9">
        <v>4</v>
      </c>
      <c r="AT34" s="9">
        <v>7</v>
      </c>
      <c r="AU34" s="9">
        <v>3</v>
      </c>
      <c r="AV34" s="9">
        <v>5</v>
      </c>
      <c r="AW34" s="9">
        <v>5</v>
      </c>
      <c r="AX34" s="9">
        <v>1</v>
      </c>
      <c r="AY34" s="9">
        <v>1</v>
      </c>
      <c r="AZ34" s="9">
        <v>1</v>
      </c>
      <c r="BA34" s="9">
        <v>2</v>
      </c>
      <c r="BB34" s="9">
        <v>4</v>
      </c>
      <c r="BC34" s="9">
        <v>0</v>
      </c>
      <c r="BD34" s="9">
        <v>0</v>
      </c>
      <c r="BE34" s="9">
        <v>0</v>
      </c>
      <c r="BF34" s="9">
        <v>1</v>
      </c>
      <c r="BG34" s="9">
        <v>1</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9">
        <v>0</v>
      </c>
      <c r="CP34" s="9">
        <v>0</v>
      </c>
      <c r="CQ34" s="9">
        <v>0</v>
      </c>
      <c r="CR34" s="9">
        <v>0</v>
      </c>
      <c r="CS34" s="9">
        <v>0</v>
      </c>
      <c r="CT34" s="9">
        <v>0</v>
      </c>
      <c r="CU34" s="9">
        <v>0</v>
      </c>
      <c r="CV34" s="9">
        <v>0</v>
      </c>
      <c r="CW34" s="9">
        <v>0</v>
      </c>
      <c r="CX34" s="9">
        <v>0</v>
      </c>
      <c r="CY34" s="9">
        <v>0</v>
      </c>
      <c r="CZ34" s="9">
        <v>0</v>
      </c>
      <c r="DA34" s="9">
        <v>0</v>
      </c>
      <c r="DB34" s="9">
        <v>0</v>
      </c>
      <c r="DC34" s="9">
        <v>0</v>
      </c>
      <c r="DD34" s="9">
        <v>0</v>
      </c>
      <c r="DE34" s="9">
        <v>2969</v>
      </c>
      <c r="DF34" s="9">
        <v>2287</v>
      </c>
      <c r="DG34" s="10">
        <v>0.770293027955541</v>
      </c>
      <c r="DH34" s="11">
        <v>9.2441860465116292</v>
      </c>
      <c r="DI34" s="11">
        <v>29.53</v>
      </c>
      <c r="DJ34" s="9">
        <v>2</v>
      </c>
      <c r="DK34" s="9">
        <v>0</v>
      </c>
      <c r="DL34" s="9">
        <v>0</v>
      </c>
      <c r="DM34" s="10">
        <f t="shared" si="0"/>
        <v>6.7362748400134724E-4</v>
      </c>
    </row>
    <row r="35" spans="2:117" ht="12.75" customHeight="1">
      <c r="B35" s="8" t="s">
        <v>177</v>
      </c>
      <c r="C35" s="8" t="s">
        <v>178</v>
      </c>
      <c r="D35" s="9">
        <v>16725</v>
      </c>
      <c r="E35" s="9">
        <v>16980</v>
      </c>
      <c r="F35" s="9">
        <v>16325</v>
      </c>
      <c r="G35" s="9">
        <v>14515</v>
      </c>
      <c r="H35" s="9">
        <v>7952</v>
      </c>
      <c r="I35" s="9">
        <v>7341</v>
      </c>
      <c r="J35" s="9">
        <v>12542</v>
      </c>
      <c r="K35" s="9">
        <v>12101</v>
      </c>
      <c r="L35" s="9">
        <v>11974</v>
      </c>
      <c r="M35" s="9">
        <v>11207</v>
      </c>
      <c r="N35" s="9">
        <v>10732</v>
      </c>
      <c r="O35" s="9">
        <v>10308</v>
      </c>
      <c r="P35" s="9">
        <v>9579</v>
      </c>
      <c r="Q35" s="9">
        <v>8489</v>
      </c>
      <c r="R35" s="9">
        <v>8670</v>
      </c>
      <c r="S35" s="9">
        <v>8371</v>
      </c>
      <c r="T35" s="9">
        <v>8012</v>
      </c>
      <c r="U35" s="9">
        <v>7414</v>
      </c>
      <c r="V35" s="9">
        <v>6556</v>
      </c>
      <c r="W35" s="9">
        <v>6263</v>
      </c>
      <c r="X35" s="9">
        <v>5882</v>
      </c>
      <c r="Y35" s="9">
        <v>5493</v>
      </c>
      <c r="Z35" s="9">
        <v>3881</v>
      </c>
      <c r="AA35" s="9">
        <v>4642</v>
      </c>
      <c r="AB35" s="9">
        <v>4489</v>
      </c>
      <c r="AC35" s="9">
        <v>4317</v>
      </c>
      <c r="AD35" s="9">
        <v>4216</v>
      </c>
      <c r="AE35" s="9">
        <v>4269</v>
      </c>
      <c r="AF35" s="9">
        <v>4280</v>
      </c>
      <c r="AG35" s="9">
        <v>4163</v>
      </c>
      <c r="AH35" s="9">
        <v>4338</v>
      </c>
      <c r="AI35" s="9">
        <v>3908</v>
      </c>
      <c r="AJ35" s="9">
        <v>3835</v>
      </c>
      <c r="AK35" s="9">
        <v>3765</v>
      </c>
      <c r="AL35" s="9">
        <v>3600</v>
      </c>
      <c r="AM35" s="9">
        <v>2485</v>
      </c>
      <c r="AN35" s="9">
        <v>3234</v>
      </c>
      <c r="AO35" s="9">
        <v>3118</v>
      </c>
      <c r="AP35" s="9">
        <v>2364</v>
      </c>
      <c r="AQ35" s="9">
        <v>2728</v>
      </c>
      <c r="AR35" s="9">
        <v>1959</v>
      </c>
      <c r="AS35" s="9">
        <v>1813</v>
      </c>
      <c r="AT35" s="9">
        <v>2254</v>
      </c>
      <c r="AU35" s="9">
        <v>2025</v>
      </c>
      <c r="AV35" s="9">
        <v>1712</v>
      </c>
      <c r="AW35" s="9">
        <v>1631</v>
      </c>
      <c r="AX35" s="9">
        <v>1578</v>
      </c>
      <c r="AY35" s="9">
        <v>1418</v>
      </c>
      <c r="AZ35" s="9">
        <v>1195</v>
      </c>
      <c r="BA35" s="9">
        <v>1094</v>
      </c>
      <c r="BB35" s="9">
        <v>1064</v>
      </c>
      <c r="BC35" s="9">
        <v>883</v>
      </c>
      <c r="BD35" s="9">
        <v>734</v>
      </c>
      <c r="BE35" s="9">
        <v>650</v>
      </c>
      <c r="BF35" s="9">
        <v>543</v>
      </c>
      <c r="BG35" s="9">
        <v>472</v>
      </c>
      <c r="BH35" s="9">
        <v>301</v>
      </c>
      <c r="BI35" s="9">
        <v>193</v>
      </c>
      <c r="BJ35" s="9">
        <v>358</v>
      </c>
      <c r="BK35" s="9">
        <v>321</v>
      </c>
      <c r="BL35" s="9">
        <v>298</v>
      </c>
      <c r="BM35" s="9">
        <v>206</v>
      </c>
      <c r="BN35" s="9">
        <v>193</v>
      </c>
      <c r="BO35" s="9">
        <v>140</v>
      </c>
      <c r="BP35" s="9">
        <v>89</v>
      </c>
      <c r="BQ35" s="9">
        <v>39</v>
      </c>
      <c r="BR35" s="9">
        <v>26</v>
      </c>
      <c r="BS35" s="9">
        <v>27</v>
      </c>
      <c r="BT35" s="9">
        <v>32</v>
      </c>
      <c r="BU35" s="9">
        <v>15</v>
      </c>
      <c r="BV35" s="9">
        <v>17</v>
      </c>
      <c r="BW35" s="9">
        <v>10</v>
      </c>
      <c r="BX35" s="9">
        <v>10</v>
      </c>
      <c r="BY35" s="9">
        <v>21</v>
      </c>
      <c r="BZ35" s="9">
        <v>10</v>
      </c>
      <c r="CA35" s="9">
        <v>13</v>
      </c>
      <c r="CB35" s="9">
        <v>11</v>
      </c>
      <c r="CC35" s="9">
        <v>11</v>
      </c>
      <c r="CD35" s="9">
        <v>18</v>
      </c>
      <c r="CE35" s="9">
        <v>9</v>
      </c>
      <c r="CF35" s="9">
        <v>6</v>
      </c>
      <c r="CG35" s="9">
        <v>13</v>
      </c>
      <c r="CH35" s="9">
        <v>8</v>
      </c>
      <c r="CI35" s="9">
        <v>9</v>
      </c>
      <c r="CJ35" s="9">
        <v>16</v>
      </c>
      <c r="CK35" s="9">
        <v>5</v>
      </c>
      <c r="CL35" s="9">
        <v>12</v>
      </c>
      <c r="CM35" s="9">
        <v>2</v>
      </c>
      <c r="CN35" s="9">
        <v>8</v>
      </c>
      <c r="CO35" s="9">
        <v>4</v>
      </c>
      <c r="CP35" s="9">
        <v>3</v>
      </c>
      <c r="CQ35" s="9">
        <v>2</v>
      </c>
      <c r="CR35" s="9">
        <v>5</v>
      </c>
      <c r="CS35" s="9">
        <v>4</v>
      </c>
      <c r="CT35" s="9">
        <v>0</v>
      </c>
      <c r="CU35" s="9">
        <v>2</v>
      </c>
      <c r="CV35" s="9">
        <v>7</v>
      </c>
      <c r="CW35" s="9">
        <v>2</v>
      </c>
      <c r="CX35" s="9">
        <v>1</v>
      </c>
      <c r="CY35" s="9">
        <v>0</v>
      </c>
      <c r="CZ35" s="9">
        <v>1</v>
      </c>
      <c r="DA35" s="9">
        <v>1</v>
      </c>
      <c r="DB35" s="9">
        <v>2</v>
      </c>
      <c r="DC35" s="9">
        <v>2</v>
      </c>
      <c r="DD35" s="9">
        <v>4</v>
      </c>
      <c r="DE35" s="9">
        <v>314575</v>
      </c>
      <c r="DF35" s="9">
        <v>199237</v>
      </c>
      <c r="DG35" s="10">
        <v>0.63335293650162905</v>
      </c>
      <c r="DH35" s="11">
        <v>12.896283536903599</v>
      </c>
      <c r="DI35" s="11">
        <v>39.393695014662804</v>
      </c>
      <c r="DJ35" s="9">
        <v>4886</v>
      </c>
      <c r="DK35" s="9">
        <v>146</v>
      </c>
      <c r="DL35" s="9">
        <v>388</v>
      </c>
      <c r="DM35" s="10">
        <f t="shared" si="0"/>
        <v>1.5532067074624494E-2</v>
      </c>
    </row>
    <row r="36" spans="2:117" ht="12.75" customHeight="1">
      <c r="B36" s="8" t="s">
        <v>179</v>
      </c>
      <c r="C36" s="8" t="s">
        <v>180</v>
      </c>
      <c r="D36" s="9">
        <v>34139</v>
      </c>
      <c r="E36" s="9">
        <v>31456</v>
      </c>
      <c r="F36" s="9">
        <v>25751</v>
      </c>
      <c r="G36" s="9">
        <v>21014</v>
      </c>
      <c r="H36" s="9">
        <v>11202</v>
      </c>
      <c r="I36" s="9">
        <v>10196</v>
      </c>
      <c r="J36" s="9">
        <v>17886</v>
      </c>
      <c r="K36" s="9">
        <v>16283</v>
      </c>
      <c r="L36" s="9">
        <v>15884</v>
      </c>
      <c r="M36" s="9">
        <v>15102</v>
      </c>
      <c r="N36" s="9">
        <v>14440</v>
      </c>
      <c r="O36" s="9">
        <v>14173</v>
      </c>
      <c r="P36" s="9">
        <v>13562</v>
      </c>
      <c r="Q36" s="9">
        <v>11905</v>
      </c>
      <c r="R36" s="9">
        <v>12128</v>
      </c>
      <c r="S36" s="9">
        <v>12151</v>
      </c>
      <c r="T36" s="9">
        <v>11408</v>
      </c>
      <c r="U36" s="9">
        <v>10880</v>
      </c>
      <c r="V36" s="9">
        <v>9611</v>
      </c>
      <c r="W36" s="9">
        <v>9612</v>
      </c>
      <c r="X36" s="9">
        <v>9148</v>
      </c>
      <c r="Y36" s="9">
        <v>8847</v>
      </c>
      <c r="Z36" s="9">
        <v>6448</v>
      </c>
      <c r="AA36" s="9">
        <v>7777</v>
      </c>
      <c r="AB36" s="9">
        <v>7764</v>
      </c>
      <c r="AC36" s="9">
        <v>7505</v>
      </c>
      <c r="AD36" s="9">
        <v>7101</v>
      </c>
      <c r="AE36" s="9">
        <v>7066</v>
      </c>
      <c r="AF36" s="9">
        <v>6556</v>
      </c>
      <c r="AG36" s="9">
        <v>6663</v>
      </c>
      <c r="AH36" s="9">
        <v>6204</v>
      </c>
      <c r="AI36" s="9">
        <v>6017</v>
      </c>
      <c r="AJ36" s="9">
        <v>5815</v>
      </c>
      <c r="AK36" s="9">
        <v>5728</v>
      </c>
      <c r="AL36" s="9">
        <v>5265</v>
      </c>
      <c r="AM36" s="9">
        <v>3756</v>
      </c>
      <c r="AN36" s="9">
        <v>4773</v>
      </c>
      <c r="AO36" s="9">
        <v>4423</v>
      </c>
      <c r="AP36" s="9">
        <v>3326</v>
      </c>
      <c r="AQ36" s="9">
        <v>3880</v>
      </c>
      <c r="AR36" s="9">
        <v>2777</v>
      </c>
      <c r="AS36" s="9">
        <v>2850</v>
      </c>
      <c r="AT36" s="9">
        <v>3309</v>
      </c>
      <c r="AU36" s="9">
        <v>3057</v>
      </c>
      <c r="AV36" s="9">
        <v>2801</v>
      </c>
      <c r="AW36" s="9">
        <v>2595</v>
      </c>
      <c r="AX36" s="9">
        <v>2493</v>
      </c>
      <c r="AY36" s="9">
        <v>2356</v>
      </c>
      <c r="AZ36" s="9">
        <v>1970</v>
      </c>
      <c r="BA36" s="9">
        <v>1825</v>
      </c>
      <c r="BB36" s="9">
        <v>1843</v>
      </c>
      <c r="BC36" s="9">
        <v>1720</v>
      </c>
      <c r="BD36" s="9">
        <v>1411</v>
      </c>
      <c r="BE36" s="9">
        <v>1278</v>
      </c>
      <c r="BF36" s="9">
        <v>1073</v>
      </c>
      <c r="BG36" s="9">
        <v>956</v>
      </c>
      <c r="BH36" s="9">
        <v>538</v>
      </c>
      <c r="BI36" s="9">
        <v>350</v>
      </c>
      <c r="BJ36" s="9">
        <v>652</v>
      </c>
      <c r="BK36" s="9">
        <v>621</v>
      </c>
      <c r="BL36" s="9">
        <v>532</v>
      </c>
      <c r="BM36" s="9">
        <v>385</v>
      </c>
      <c r="BN36" s="9">
        <v>352</v>
      </c>
      <c r="BO36" s="9">
        <v>301</v>
      </c>
      <c r="BP36" s="9">
        <v>243</v>
      </c>
      <c r="BQ36" s="9">
        <v>64</v>
      </c>
      <c r="BR36" s="9">
        <v>54</v>
      </c>
      <c r="BS36" s="9">
        <v>43</v>
      </c>
      <c r="BT36" s="9">
        <v>49</v>
      </c>
      <c r="BU36" s="9">
        <v>42</v>
      </c>
      <c r="BV36" s="9">
        <v>29</v>
      </c>
      <c r="BW36" s="9">
        <v>22</v>
      </c>
      <c r="BX36" s="9">
        <v>22</v>
      </c>
      <c r="BY36" s="9">
        <v>17</v>
      </c>
      <c r="BZ36" s="9">
        <v>10</v>
      </c>
      <c r="CA36" s="9">
        <v>6</v>
      </c>
      <c r="CB36" s="9">
        <v>9</v>
      </c>
      <c r="CC36" s="9">
        <v>10</v>
      </c>
      <c r="CD36" s="9">
        <v>8</v>
      </c>
      <c r="CE36" s="9">
        <v>4</v>
      </c>
      <c r="CF36" s="9">
        <v>9</v>
      </c>
      <c r="CG36" s="9">
        <v>9</v>
      </c>
      <c r="CH36" s="9">
        <v>7</v>
      </c>
      <c r="CI36" s="9">
        <v>6</v>
      </c>
      <c r="CJ36" s="9">
        <v>4</v>
      </c>
      <c r="CK36" s="9">
        <v>2</v>
      </c>
      <c r="CL36" s="9">
        <v>2</v>
      </c>
      <c r="CM36" s="9">
        <v>3</v>
      </c>
      <c r="CN36" s="9">
        <v>4</v>
      </c>
      <c r="CO36" s="9">
        <v>2</v>
      </c>
      <c r="CP36" s="9">
        <v>2</v>
      </c>
      <c r="CQ36" s="9">
        <v>3</v>
      </c>
      <c r="CR36" s="9">
        <v>0</v>
      </c>
      <c r="CS36" s="9">
        <v>0</v>
      </c>
      <c r="CT36" s="9">
        <v>1</v>
      </c>
      <c r="CU36" s="9">
        <v>1</v>
      </c>
      <c r="CV36" s="9">
        <v>2</v>
      </c>
      <c r="CW36" s="9">
        <v>1</v>
      </c>
      <c r="CX36" s="9">
        <v>1</v>
      </c>
      <c r="CY36" s="9">
        <v>0</v>
      </c>
      <c r="CZ36" s="9">
        <v>0</v>
      </c>
      <c r="DA36" s="9">
        <v>0</v>
      </c>
      <c r="DB36" s="9">
        <v>1</v>
      </c>
      <c r="DC36" s="9">
        <v>1</v>
      </c>
      <c r="DD36" s="9">
        <v>8</v>
      </c>
      <c r="DE36" s="9">
        <v>481591</v>
      </c>
      <c r="DF36" s="9">
        <v>299560</v>
      </c>
      <c r="DG36" s="10">
        <v>0.62202159093504605</v>
      </c>
      <c r="DH36" s="11">
        <v>12.978432384604</v>
      </c>
      <c r="DI36" s="11">
        <v>40.078761253150901</v>
      </c>
      <c r="DJ36" s="9">
        <v>9150</v>
      </c>
      <c r="DK36" s="9">
        <v>81</v>
      </c>
      <c r="DL36" s="9">
        <v>458</v>
      </c>
      <c r="DM36" s="10">
        <f t="shared" si="0"/>
        <v>1.8999524492774991E-2</v>
      </c>
    </row>
    <row r="37" spans="2:117" ht="12.75" customHeight="1">
      <c r="B37" s="8" t="s">
        <v>181</v>
      </c>
      <c r="C37" s="8" t="s">
        <v>182</v>
      </c>
      <c r="D37" s="9">
        <v>11886</v>
      </c>
      <c r="E37" s="9">
        <v>11594</v>
      </c>
      <c r="F37" s="9">
        <v>10546</v>
      </c>
      <c r="G37" s="9">
        <v>8775</v>
      </c>
      <c r="H37" s="9">
        <v>4542</v>
      </c>
      <c r="I37" s="9">
        <v>4160</v>
      </c>
      <c r="J37" s="9">
        <v>7370</v>
      </c>
      <c r="K37" s="9">
        <v>6561</v>
      </c>
      <c r="L37" s="9">
        <v>5992</v>
      </c>
      <c r="M37" s="9">
        <v>5655</v>
      </c>
      <c r="N37" s="9">
        <v>5624</v>
      </c>
      <c r="O37" s="9">
        <v>5266</v>
      </c>
      <c r="P37" s="9">
        <v>4821</v>
      </c>
      <c r="Q37" s="9">
        <v>3964</v>
      </c>
      <c r="R37" s="9">
        <v>3801</v>
      </c>
      <c r="S37" s="9">
        <v>3927</v>
      </c>
      <c r="T37" s="9">
        <v>3603</v>
      </c>
      <c r="U37" s="9">
        <v>3422</v>
      </c>
      <c r="V37" s="9">
        <v>2698</v>
      </c>
      <c r="W37" s="9">
        <v>2591</v>
      </c>
      <c r="X37" s="9">
        <v>2332</v>
      </c>
      <c r="Y37" s="9">
        <v>2123</v>
      </c>
      <c r="Z37" s="9">
        <v>1532</v>
      </c>
      <c r="AA37" s="9">
        <v>1868</v>
      </c>
      <c r="AB37" s="9">
        <v>1682</v>
      </c>
      <c r="AC37" s="9">
        <v>1574</v>
      </c>
      <c r="AD37" s="9">
        <v>1406</v>
      </c>
      <c r="AE37" s="9">
        <v>1413</v>
      </c>
      <c r="AF37" s="9">
        <v>1402</v>
      </c>
      <c r="AG37" s="9">
        <v>1383</v>
      </c>
      <c r="AH37" s="9">
        <v>1286</v>
      </c>
      <c r="AI37" s="9">
        <v>1195</v>
      </c>
      <c r="AJ37" s="9">
        <v>1171</v>
      </c>
      <c r="AK37" s="9">
        <v>1093</v>
      </c>
      <c r="AL37" s="9">
        <v>911</v>
      </c>
      <c r="AM37" s="9">
        <v>807</v>
      </c>
      <c r="AN37" s="9">
        <v>1058</v>
      </c>
      <c r="AO37" s="9">
        <v>907</v>
      </c>
      <c r="AP37" s="9">
        <v>680</v>
      </c>
      <c r="AQ37" s="9">
        <v>812</v>
      </c>
      <c r="AR37" s="9">
        <v>560</v>
      </c>
      <c r="AS37" s="9">
        <v>590</v>
      </c>
      <c r="AT37" s="9">
        <v>702</v>
      </c>
      <c r="AU37" s="9">
        <v>564</v>
      </c>
      <c r="AV37" s="9">
        <v>531</v>
      </c>
      <c r="AW37" s="9">
        <v>566</v>
      </c>
      <c r="AX37" s="9">
        <v>482</v>
      </c>
      <c r="AY37" s="9">
        <v>447</v>
      </c>
      <c r="AZ37" s="9">
        <v>377</v>
      </c>
      <c r="BA37" s="9">
        <v>342</v>
      </c>
      <c r="BB37" s="9">
        <v>277</v>
      </c>
      <c r="BC37" s="9">
        <v>256</v>
      </c>
      <c r="BD37" s="9">
        <v>238</v>
      </c>
      <c r="BE37" s="9">
        <v>188</v>
      </c>
      <c r="BF37" s="9">
        <v>180</v>
      </c>
      <c r="BG37" s="9">
        <v>157</v>
      </c>
      <c r="BH37" s="9">
        <v>86</v>
      </c>
      <c r="BI37" s="9">
        <v>58</v>
      </c>
      <c r="BJ37" s="9">
        <v>118</v>
      </c>
      <c r="BK37" s="9">
        <v>92</v>
      </c>
      <c r="BL37" s="9">
        <v>90</v>
      </c>
      <c r="BM37" s="9">
        <v>400</v>
      </c>
      <c r="BN37" s="9">
        <v>33</v>
      </c>
      <c r="BO37" s="9">
        <v>53</v>
      </c>
      <c r="BP37" s="9">
        <v>35</v>
      </c>
      <c r="BQ37" s="9">
        <v>5</v>
      </c>
      <c r="BR37" s="9">
        <v>5</v>
      </c>
      <c r="BS37" s="9">
        <v>10</v>
      </c>
      <c r="BT37" s="9">
        <v>11</v>
      </c>
      <c r="BU37" s="9">
        <v>5</v>
      </c>
      <c r="BV37" s="9">
        <v>6</v>
      </c>
      <c r="BW37" s="9">
        <v>5</v>
      </c>
      <c r="BX37" s="9">
        <v>1</v>
      </c>
      <c r="BY37" s="9">
        <v>0</v>
      </c>
      <c r="BZ37" s="9">
        <v>1</v>
      </c>
      <c r="CA37" s="9">
        <v>0</v>
      </c>
      <c r="CB37" s="9">
        <v>1</v>
      </c>
      <c r="CC37" s="9">
        <v>0</v>
      </c>
      <c r="CD37" s="9">
        <v>1</v>
      </c>
      <c r="CE37" s="9">
        <v>0</v>
      </c>
      <c r="CF37" s="9">
        <v>0</v>
      </c>
      <c r="CG37" s="9">
        <v>0</v>
      </c>
      <c r="CH37" s="9">
        <v>1</v>
      </c>
      <c r="CI37" s="9">
        <v>0</v>
      </c>
      <c r="CJ37" s="9">
        <v>1</v>
      </c>
      <c r="CK37" s="9">
        <v>0</v>
      </c>
      <c r="CL37" s="9">
        <v>0</v>
      </c>
      <c r="CM37" s="9">
        <v>1</v>
      </c>
      <c r="CN37" s="9">
        <v>0</v>
      </c>
      <c r="CO37" s="9">
        <v>0</v>
      </c>
      <c r="CP37" s="9">
        <v>0</v>
      </c>
      <c r="CQ37" s="9">
        <v>0</v>
      </c>
      <c r="CR37" s="9">
        <v>0</v>
      </c>
      <c r="CS37" s="9">
        <v>0</v>
      </c>
      <c r="CT37" s="9">
        <v>0</v>
      </c>
      <c r="CU37" s="9">
        <v>0</v>
      </c>
      <c r="CV37" s="9">
        <v>0</v>
      </c>
      <c r="CW37" s="9">
        <v>1</v>
      </c>
      <c r="CX37" s="9">
        <v>0</v>
      </c>
      <c r="CY37" s="9">
        <v>0</v>
      </c>
      <c r="CZ37" s="9">
        <v>0</v>
      </c>
      <c r="DA37" s="9">
        <v>0</v>
      </c>
      <c r="DB37" s="9">
        <v>0</v>
      </c>
      <c r="DC37" s="9">
        <v>0</v>
      </c>
      <c r="DD37" s="9">
        <v>3</v>
      </c>
      <c r="DE37" s="9">
        <v>150913</v>
      </c>
      <c r="DF37" s="9">
        <v>111509</v>
      </c>
      <c r="DG37" s="10">
        <v>0.73889592016592298</v>
      </c>
      <c r="DH37" s="11">
        <v>9.7127320954907201</v>
      </c>
      <c r="DI37" s="11">
        <v>34.638814489571899</v>
      </c>
      <c r="DJ37" s="9">
        <v>1786</v>
      </c>
      <c r="DK37" s="9">
        <v>8</v>
      </c>
      <c r="DL37" s="9">
        <v>58</v>
      </c>
      <c r="DM37" s="10">
        <f t="shared" si="0"/>
        <v>1.1834633199260501E-2</v>
      </c>
    </row>
    <row r="38" spans="2:117" ht="12.75" customHeight="1">
      <c r="B38" s="8" t="s">
        <v>183</v>
      </c>
      <c r="C38" s="8" t="s">
        <v>184</v>
      </c>
      <c r="D38" s="9">
        <v>381377</v>
      </c>
      <c r="E38" s="9">
        <v>375886</v>
      </c>
      <c r="F38" s="9">
        <v>347536</v>
      </c>
      <c r="G38" s="9">
        <v>308884</v>
      </c>
      <c r="H38" s="9">
        <v>168271</v>
      </c>
      <c r="I38" s="9">
        <v>158188</v>
      </c>
      <c r="J38" s="9">
        <v>273411</v>
      </c>
      <c r="K38" s="9">
        <v>262704</v>
      </c>
      <c r="L38" s="9">
        <v>253789</v>
      </c>
      <c r="M38" s="9">
        <v>243731</v>
      </c>
      <c r="N38" s="9">
        <v>235777</v>
      </c>
      <c r="O38" s="9">
        <v>230002</v>
      </c>
      <c r="P38" s="9">
        <v>217663</v>
      </c>
      <c r="Q38" s="9">
        <v>194490</v>
      </c>
      <c r="R38" s="9">
        <v>196973</v>
      </c>
      <c r="S38" s="9">
        <v>192356</v>
      </c>
      <c r="T38" s="9">
        <v>182019</v>
      </c>
      <c r="U38" s="9">
        <v>172901</v>
      </c>
      <c r="V38" s="9">
        <v>153004</v>
      </c>
      <c r="W38" s="9">
        <v>146120</v>
      </c>
      <c r="X38" s="9">
        <v>140723</v>
      </c>
      <c r="Y38" s="9">
        <v>133015</v>
      </c>
      <c r="Z38" s="9">
        <v>96260</v>
      </c>
      <c r="AA38" s="9">
        <v>115616</v>
      </c>
      <c r="AB38" s="9">
        <v>114630</v>
      </c>
      <c r="AC38" s="9">
        <v>110479</v>
      </c>
      <c r="AD38" s="9">
        <v>104620</v>
      </c>
      <c r="AE38" s="9">
        <v>104501</v>
      </c>
      <c r="AF38" s="9">
        <v>100728</v>
      </c>
      <c r="AG38" s="9">
        <v>98217</v>
      </c>
      <c r="AH38" s="9">
        <v>94455</v>
      </c>
      <c r="AI38" s="9">
        <v>89654</v>
      </c>
      <c r="AJ38" s="9">
        <v>87486</v>
      </c>
      <c r="AK38" s="9">
        <v>84151</v>
      </c>
      <c r="AL38" s="9">
        <v>80110</v>
      </c>
      <c r="AM38" s="9">
        <v>58946</v>
      </c>
      <c r="AN38" s="9">
        <v>74931</v>
      </c>
      <c r="AO38" s="9">
        <v>69464</v>
      </c>
      <c r="AP38" s="9">
        <v>53568</v>
      </c>
      <c r="AQ38" s="9">
        <v>61427</v>
      </c>
      <c r="AR38" s="9">
        <v>44375</v>
      </c>
      <c r="AS38" s="9">
        <v>44067</v>
      </c>
      <c r="AT38" s="9">
        <v>51965</v>
      </c>
      <c r="AU38" s="9">
        <v>47722</v>
      </c>
      <c r="AV38" s="9">
        <v>42728</v>
      </c>
      <c r="AW38" s="9">
        <v>41003</v>
      </c>
      <c r="AX38" s="9">
        <v>37906</v>
      </c>
      <c r="AY38" s="9">
        <v>35712</v>
      </c>
      <c r="AZ38" s="9">
        <v>30946</v>
      </c>
      <c r="BA38" s="9">
        <v>26838</v>
      </c>
      <c r="BB38" s="9">
        <v>26840</v>
      </c>
      <c r="BC38" s="9">
        <v>23933</v>
      </c>
      <c r="BD38" s="9">
        <v>20380</v>
      </c>
      <c r="BE38" s="9">
        <v>18364</v>
      </c>
      <c r="BF38" s="9">
        <v>15932</v>
      </c>
      <c r="BG38" s="9">
        <v>13394</v>
      </c>
      <c r="BH38" s="9">
        <v>7772</v>
      </c>
      <c r="BI38" s="9">
        <v>5092</v>
      </c>
      <c r="BJ38" s="9">
        <v>10002</v>
      </c>
      <c r="BK38" s="9">
        <v>8781</v>
      </c>
      <c r="BL38" s="9">
        <v>7812</v>
      </c>
      <c r="BM38" s="9">
        <v>6160</v>
      </c>
      <c r="BN38" s="9">
        <v>5083</v>
      </c>
      <c r="BO38" s="9">
        <v>4283</v>
      </c>
      <c r="BP38" s="9">
        <v>3388</v>
      </c>
      <c r="BQ38" s="9">
        <v>963</v>
      </c>
      <c r="BR38" s="9">
        <v>917</v>
      </c>
      <c r="BS38" s="9">
        <v>776</v>
      </c>
      <c r="BT38" s="9">
        <v>643</v>
      </c>
      <c r="BU38" s="9">
        <v>498</v>
      </c>
      <c r="BV38" s="9">
        <v>379</v>
      </c>
      <c r="BW38" s="9">
        <v>303</v>
      </c>
      <c r="BX38" s="9">
        <v>305</v>
      </c>
      <c r="BY38" s="9">
        <v>291</v>
      </c>
      <c r="BZ38" s="9">
        <v>167</v>
      </c>
      <c r="CA38" s="9">
        <v>208</v>
      </c>
      <c r="CB38" s="9">
        <v>189</v>
      </c>
      <c r="CC38" s="9">
        <v>164</v>
      </c>
      <c r="CD38" s="9">
        <v>140</v>
      </c>
      <c r="CE38" s="9">
        <v>147</v>
      </c>
      <c r="CF38" s="9">
        <v>115</v>
      </c>
      <c r="CG38" s="9">
        <v>136</v>
      </c>
      <c r="CH38" s="9">
        <v>109</v>
      </c>
      <c r="CI38" s="9">
        <v>94</v>
      </c>
      <c r="CJ38" s="9">
        <v>117</v>
      </c>
      <c r="CK38" s="9">
        <v>70</v>
      </c>
      <c r="CL38" s="9">
        <v>55</v>
      </c>
      <c r="CM38" s="9">
        <v>37</v>
      </c>
      <c r="CN38" s="9">
        <v>62</v>
      </c>
      <c r="CO38" s="9">
        <v>47</v>
      </c>
      <c r="CP38" s="9">
        <v>28</v>
      </c>
      <c r="CQ38" s="9">
        <v>30</v>
      </c>
      <c r="CR38" s="9">
        <v>29</v>
      </c>
      <c r="CS38" s="9">
        <v>28</v>
      </c>
      <c r="CT38" s="9">
        <v>21</v>
      </c>
      <c r="CU38" s="9">
        <v>17</v>
      </c>
      <c r="CV38" s="9">
        <v>22</v>
      </c>
      <c r="CW38" s="9">
        <v>41</v>
      </c>
      <c r="CX38" s="9">
        <v>14</v>
      </c>
      <c r="CY38" s="9">
        <v>11</v>
      </c>
      <c r="CZ38" s="9">
        <v>13</v>
      </c>
      <c r="DA38" s="9">
        <v>7</v>
      </c>
      <c r="DB38" s="9">
        <v>12</v>
      </c>
      <c r="DC38" s="9">
        <v>12</v>
      </c>
      <c r="DD38" s="9">
        <v>200</v>
      </c>
      <c r="DE38" s="9">
        <v>7155958</v>
      </c>
      <c r="DF38" s="9">
        <v>4395958</v>
      </c>
      <c r="DG38" s="10">
        <v>0.61430740649959104</v>
      </c>
      <c r="DH38" s="11">
        <v>13.6209059591753</v>
      </c>
      <c r="DI38" s="11">
        <v>40.347456000000001</v>
      </c>
      <c r="DJ38" s="9">
        <v>133860</v>
      </c>
      <c r="DK38" s="9">
        <v>1614</v>
      </c>
      <c r="DL38" s="9">
        <v>7417</v>
      </c>
      <c r="DM38" s="10">
        <f t="shared" si="0"/>
        <v>1.8706090784769838E-2</v>
      </c>
    </row>
  </sheetData>
  <mergeCells count="1">
    <mergeCell ref="D13:DD13"/>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workbookViewId="0"/>
  </sheetViews>
  <sheetFormatPr defaultColWidth="11.44140625" defaultRowHeight="14.4"/>
  <sheetData/>
  <pageMargins left="0.7" right="0.7" top="0.75" bottom="0.75" header="0.3" footer="0.3"/>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fcde14c-a1ff-41f1-a210-ce352d4e962b">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C83FE296745C42B8674DB72D139957" ma:contentTypeVersion="18" ma:contentTypeDescription="Create a new document." ma:contentTypeScope="" ma:versionID="2def9819561c10c3a5c0a4c5418f01f5">
  <xsd:schema xmlns:xsd="http://www.w3.org/2001/XMLSchema" xmlns:xs="http://www.w3.org/2001/XMLSchema" xmlns:p="http://schemas.microsoft.com/office/2006/metadata/properties" xmlns:ns1="http://schemas.microsoft.com/sharepoint/v3" xmlns:ns2="58b241f0-c181-42d5-839a-5e9ae10f42c8" xmlns:ns3="5fcde14c-a1ff-41f1-a210-ce352d4e962b" targetNamespace="http://schemas.microsoft.com/office/2006/metadata/properties" ma:root="true" ma:fieldsID="cae15ef64808bdcf281a127d0c686fcb" ns1:_="" ns2:_="" ns3:_="">
    <xsd:import namespace="http://schemas.microsoft.com/sharepoint/v3"/>
    <xsd:import namespace="58b241f0-c181-42d5-839a-5e9ae10f42c8"/>
    <xsd:import namespace="5fcde14c-a1ff-41f1-a210-ce352d4e962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1:_ip_UnifiedCompliancePolicyProperties" minOccurs="0"/>
                <xsd:element ref="ns1:_ip_UnifiedCompliancePolicyUIAction" minOccurs="0"/>
                <xsd:element ref="ns3:MediaServiceLocation" minOccurs="0"/>
                <xsd:element ref="ns3:MediaServiceBillingMetadata"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b241f0-c181-42d5-839a-5e9ae10f42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cde14c-a1ff-41f1-a210-ce352d4e962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6FC09D-9564-46EC-AB18-C9D012CE8ED0}">
  <ds:schemaRefs>
    <ds:schemaRef ds:uri="http://schemas.microsoft.com/office/2006/metadata/properties"/>
    <ds:schemaRef ds:uri="http://schemas.microsoft.com/office/infopath/2007/PartnerControls"/>
    <ds:schemaRef ds:uri="http://schemas.microsoft.com/sharepoint/v3"/>
    <ds:schemaRef ds:uri="5fcde14c-a1ff-41f1-a210-ce352d4e962b"/>
  </ds:schemaRefs>
</ds:datastoreItem>
</file>

<file path=customXml/itemProps2.xml><?xml version="1.0" encoding="utf-8"?>
<ds:datastoreItem xmlns:ds="http://schemas.openxmlformats.org/officeDocument/2006/customXml" ds:itemID="{8AC5652C-7B64-4246-BB1D-6D1467FD3FB6}">
  <ds:schemaRefs>
    <ds:schemaRef ds:uri="http://schemas.microsoft.com/sharepoint/v3/contenttype/forms"/>
  </ds:schemaRefs>
</ds:datastoreItem>
</file>

<file path=customXml/itemProps3.xml><?xml version="1.0" encoding="utf-8"?>
<ds:datastoreItem xmlns:ds="http://schemas.openxmlformats.org/officeDocument/2006/customXml" ds:itemID="{18F9B211-F363-431A-AF2E-F2FFE5D2CA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b241f0-c181-42d5-839a-5e9ae10f42c8"/>
    <ds:schemaRef ds:uri="5fcde14c-a1ff-41f1-a210-ce352d4e96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 3</vt:lpstr>
      <vt:lpstr>National</vt:lpstr>
      <vt:lpstr>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Chelsea Scott</dc:creator>
  <cp:lastModifiedBy>Maggie K</cp:lastModifiedBy>
  <dcterms:created xsi:type="dcterms:W3CDTF">2023-07-12T14:16:34Z</dcterms:created>
  <dcterms:modified xsi:type="dcterms:W3CDTF">2026-04-06T02:25:05Z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0x010100FBC83FE296745C42B8674DB72D139957</vt:lpwstr>
  </property>
</Properties>
</file>